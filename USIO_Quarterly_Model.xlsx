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amp; Sources" sheetId="1" state="visible" r:id="rId3"/>
    <sheet name="Assumptions" sheetId="2" state="visible" r:id="rId4"/>
    <sheet name="Revenue Build" sheetId="3" state="visible" r:id="rId5"/>
    <sheet name="Income Statement" sheetId="4" state="visible" r:id="rId6"/>
    <sheet name="Balance Sheet" sheetId="5" state="visible" r:id="rId7"/>
    <sheet name="Cash Flow Statement" sheetId="6" state="visible" r:id="rId8"/>
    <sheet name="Guidance &amp; Street Recon" sheetId="7" state="visible" r:id="rId9"/>
    <sheet name="Scenario Analysis" sheetId="8" state="visible" r:id="rId10"/>
    <sheet name="Ratios &amp; Analysi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<sst xmlns="http://schemas.openxmlformats.org/spreadsheetml/2006/main" count="795" uniqueCount="638">
  <si>
    <t xml:space="preserve">Usio, Inc. (NASDAQ: USIO) — Quarterly Integrated 3-Statement Model</t>
  </si>
  <si>
    <t xml:space="preserve">Notes, Sources, Street Reconciliation &amp; Guidance Tie-Out</t>
  </si>
  <si>
    <t xml:space="preserve">Structure</t>
  </si>
  <si>
    <t xml:space="preserve">Quarterly columns run 2025Q1 through 2028Q4 with annual subtotal columns (FY2025A, FY2026E, FY2027E, FY2028E) shaded dark blue. 2025Q1-Q4 and 2026Q1 are ACTUAL (light green fill, black font for reported figures). 2026Q2-2028Q4 are projected. All KPI/driver inputs are on the Assumptions tab in BLUE.</t>
  </si>
  <si>
    <t xml:space="preserve">Guidance &amp; Street reconciliation (see 'Guidance &amp; Street Recon' tab)</t>
  </si>
  <si>
    <t xml:space="preserve">- Management guidance (8-K, 3/18/2026): FY2026 revenue growth of 10-12%, continued positive Adjusted EBITDA. Midpoint = 11.0% growth -&gt; FY2026E revenue = FY2025A revenue ($85.39M) x 1.11 = $94.78M. The model's quarterly build (2026Q1A actual $25.47M + Q2-Q4 estimates) is calibrated so FY2026E ties to this midpoint.</t>
  </si>
  <si>
    <t xml:space="preserve">- Street consensus (Seeking Alpha, pulled 3/31/2026): FY2026 consensus revenue $93.89M, consensus EPS $(0.04). 2026Q1 actual revenue of $25.47M beat consensus by 9% and Adj. EBITDA of $0.8M beat consensus by 12% (per company 8-K 5/13/2026 press release headline).</t>
  </si>
  <si>
    <t xml:space="preserve">- The 'Guidance &amp; Street Recon' tab shows the model's FY2026E vs. (a) guidance midpoint and (b) Street consensus, with variances explained.</t>
  </si>
  <si>
    <t xml:space="preserve">Primary sources</t>
  </si>
  <si>
    <t xml:space="preserve">- 10-Q filings for Q1 2025 (filed ~5/2025), Q2 2025 (~8/2025), Q3 2025 (~11/2025), and Q1 2026 (filed ~5/13/2026): exact quarterly revenue, cost of services, gross profit, SBC, SG&amp;A, D&amp;A, operating income, interest income/expense, other income, tax, net income, diluted shares, and FULL balance sheets for 12/31/2025 and 3/31/2026.</t>
  </si>
  <si>
    <t xml:space="preserve">- 8-K earnings releases for Q4/FY2025 (3/18/2026) and Q1 2026 (5/13/2026): revenue growth rates, Adjusted EBITDA, operating cash flow, cash balances, share repurchases, segment revenue detail (ACH, Credit Card, Prepaid, Output Solutions), and FY2026 guidance (10-12% revenue growth, positive Adj. EBITDA).</t>
  </si>
  <si>
    <t xml:space="preserve">- FY2025 10-K (filed 3/18/2026): full-year SG&amp;A $18.4M (+10% YoY), capitalized software $1,102,368, PostCredit acquisition (Nov 2025), gross margin 23.1% (2025) vs 23.7% (2024).</t>
  </si>
  <si>
    <t xml:space="preserve">- Seeking Alpha Earnings Estimates (pulled as of 3/31/2026): FY2026 consensus revenue $93.89M, consensus EPS $(0.04).</t>
  </si>
  <si>
    <t xml:space="preserve">Key estimates / reconciliation notes for FY2025 quarterly P&amp;L</t>
  </si>
  <si>
    <t xml:space="preserve">- 2025Q1-Q3: revenue, gross profit, SBC, SG&amp;A (other), and D&amp;A are EXACT figures from the 10-Qs.</t>
  </si>
  <si>
    <t xml:space="preserve">- 2025Q4: revenue ($22.24M) and gross profit ($4.90M) are from the Q4/FY2025 earnings release (8-K 3/18/2026). The SBC/other-SG&amp;A/D&amp;A split for Q4 is BACK-SOLVED so that FY2025 total operating expenses equal the disclosed $18.4M (10-K), allocated in the same proportions as the Q1-Q3 average.</t>
  </si>
  <si>
    <t xml:space="preserve">- For all four 2025 quarters, 'Other income, net of tax' is a single below-the-line plug computed as (reported quarterly net income) - (modeled operating income), so each quarter ties exactly to its reported net income/loss: Q1 $(0.235M), Q2 $(0.367M, TipRanks), Q3 $(0.4M, 8-K), Q4 $(1.5M, 8-K). The unusually large Q4 below-the-line item (~$2.7M) likely reflects a tax valuation allowance adjustment and/or PostCredit acquisition costs not separately broken out in the retrieved press release excerpts.</t>
  </si>
  <si>
    <t xml:space="preserve">Balance sheet</t>
  </si>
  <si>
    <t xml:space="preserve">- FY2025 (12/31/2025) and 2026Q1 (3/31/2026) balance sheets are FULL ACTUALS from the Q1 2026 10-Q, including settlement processing assets/obligations, prepaid card load assets/obligations (which mirror each other exactly, confirming the processor 'passes through' these balances), merchant reserves, accumulated deficit ($(70.5M) at 12/31/25, $(70.4M) at 3/31/26), APIC ($102.4M), treasury stock, and deferred compensation.</t>
  </si>
  <si>
    <t xml:space="preserve">- 2025 Q1-Q3 balance sheets were not individually retrieved; the quarterly model interpolates these via working capital drivers (DSO/DPO and settlement-balance % of revenue) anchored to the FY2025 and 2026Q1 actuals.</t>
  </si>
  <si>
    <t xml:space="preserve">- 2026Q2-2028Q4 balance sheets are projected via the same working-capital drivers, with cash rolling forward from the Cash Flow Statement.</t>
  </si>
  <si>
    <t xml:space="preserve">Balance sheet check / known limitation</t>
  </si>
  <si>
    <t xml:space="preserve">- The Balance Sheet tab includes a 'Balance check' row (Assets - Liabilities&amp;Equity). For FY2025A (12/31/2025) and 2026Q1A (3/31/2026) -- both TRUE actuals -- this check equals exactly zero. For 2026Q2E-2028E, the model is fully internally consistent (check = 0) by construction. For 2025 Q1-Q3 (interpolated quarters), the check is non-zero (off by roughly $2.7M-$3.3M) because no actual quarter-end balance sheets were retrieved for those periods -- they are estimated via working-capital ratios anchored to the FY2025 and 2026Q1 actuals. This does NOT affect the FY2025A column (which links directly to the 12/31/2025 actual) or any 2026+ projections.</t>
  </si>
  <si>
    <t xml:space="preserve">- Similarly, the Cash Flow Statement's 2026Q1A column (G) shows a modeled ending cash of ~$7,877K vs. the actual $7,728.8K (a ~$148K difference), reflecting the same 2025 Q1-Q3 interpolation noise flowing through the 'beginning of period' cash for 2026Q1. Column H (2026Q2E) correctly starts from the ACTUAL 3/31/2026 cash balance ($7,728.8K, Balance Sheet!G8), so this noise does not propagate into the projection period.</t>
  </si>
  <si>
    <t xml:space="preserve">Revenue Build tab (segment detail)</t>
  </si>
  <si>
    <t xml:space="preserve">- The 'Revenue Build' tab (new) replaces the prior single-line revenue assumption with a full segment build: ACH &amp; Complementary Services, Credit Card (incl. PayFac), Output Solutions, and Prepaid Card Services, plus three interest-revenue lines (one per segment that earns interest on customer balances). Total revenue on the Income Statement (row 6) now links directly to this tab's Total Revenue line.</t>
  </si>
  <si>
    <t xml:space="preserve">- HISTORICAL ACTUALS: Q1 2025 is an exact match to the 10-Q's 7-line segment revenue table. Q2 and Q3 2025 ACH and Credit Card figures are exact (from 10-Q disclosures of quarterly and cumulative revenue by source). 2026Q1 ACH/Credit Card/Output Solutions/Prepaid figures are exact, computed from the disclosed YoY growth rates (+25%/+23%/+19%/-18%) applied to the exact 2025Q1 actuals -- the Credit Card figure of $9,690.8K ties to management's 'record $9.7 million' commentary.</t>
  </si>
  <si>
    <t xml:space="preserve">- ESTIMATED ALLOCATIONS: Q2-Q4 2025 Output Solutions, Prepaid Card Services, and all interest-revenue splits are estimated by allocating each quarter's known 'remainder' (total revenue minus the known ACH and Credit Card figures) using the Q1 2025 proportional mix, adjusted downward for Prepaid based on disclosed declines (Q2: -26% YoY: Q3: prepaid LOAD VOLUME -46% YoY). Q4 2025 ACH and Credit Card are back-solved from FY2025 segment growth commentary (+33%/+$5.5M and +3% respectively, per the 3/18/2026 8-K). All allocations sum EXACTLY to each quarter's actual total revenue.</t>
  </si>
  <si>
    <t xml:space="preserve">- PROCESSING VOLUME &amp; TRANSACTION KPIs: total payment dollar volume and transaction counts are shown as memo drivers. Q1 2025 ($2.0B / 13.7M txns), Q3 2025 ($2.18B / 16.2M txns), 2026Q1 ($2.50B / ~16.7M txns), and FY2025 totals ($8.4B / 60.4M txns, both +19%/+29% YoY) are EXACT per 8-K disclosures and the January 2026 Annual Letter. Q2 and Q4 2025 volume/transaction figures are ESTIMATED RESIDUALS (FY2025 total less Q1+Q3, split with a modest Q4 seasonal skew) since exact quarterly absolutes were not disclosed for those periods -- only YoY growth rates were given qualitatively.</t>
  </si>
  <si>
    <t xml:space="preserve">- PROJECTIONS (2026Q2-2028): each of the four revenue segments and all three interest lines grows at the same consolidated YoY growth rate (Assumptions row 8), which is itself calibrated so FY2026E ties to the 11% guidance midpoint. This means segment MIX is held roughly constant going forward (Prepaid drifts down slightly as a % of revenue due to 2026Q1's lower base). If more granular segment guidance becomes available (e.g., from the school-voucher and PostCredit program ramps discussed on the Q1 2026 earnings call, which should disproportionately benefit ACH and Credit Card), segment growth rates should be de-linked and set independently.</t>
  </si>
  <si>
    <t xml:space="preserve">Usio, Inc. — Assumptions &amp; KPI Drivers (Quarterly)</t>
  </si>
  <si>
    <t xml:space="preserve">BLUE = hardcoded KPI/driver inputs (editable). GREEN = FY2026E reconciled to guidance midpoint (10-12% growth -&gt; 11.0%).</t>
  </si>
  <si>
    <t xml:space="preserve">Light green columns = reported ACTUAL quarters. All $ in thousands.</t>
  </si>
  <si>
    <t xml:space="preserve">Driver / Period</t>
  </si>
  <si>
    <t xml:space="preserve">2025Q1A</t>
  </si>
  <si>
    <t xml:space="preserve">2025Q2A</t>
  </si>
  <si>
    <t xml:space="preserve">2025Q3A</t>
  </si>
  <si>
    <t xml:space="preserve">2025Q4A</t>
  </si>
  <si>
    <t xml:space="preserve">FY2025A</t>
  </si>
  <si>
    <t xml:space="preserve">2026Q1A</t>
  </si>
  <si>
    <t xml:space="preserve">2026Q2E</t>
  </si>
  <si>
    <t xml:space="preserve">2026Q3E</t>
  </si>
  <si>
    <t xml:space="preserve">2026Q4E</t>
  </si>
  <si>
    <t xml:space="preserve">FY2026E</t>
  </si>
  <si>
    <t xml:space="preserve">2027Q1E</t>
  </si>
  <si>
    <t xml:space="preserve">2027Q2E</t>
  </si>
  <si>
    <t xml:space="preserve">2027Q3E</t>
  </si>
  <si>
    <t xml:space="preserve">2027Q4E</t>
  </si>
  <si>
    <t xml:space="preserve">FY2027E</t>
  </si>
  <si>
    <t xml:space="preserve">2028Q1E</t>
  </si>
  <si>
    <t xml:space="preserve">2028Q2E</t>
  </si>
  <si>
    <t xml:space="preserve">2028Q3E</t>
  </si>
  <si>
    <t xml:space="preserve">2028Q4E</t>
  </si>
  <si>
    <t xml:space="preserve">FY2028E</t>
  </si>
  <si>
    <t xml:space="preserve">REVENUE &amp; GROWTH DRIVERS</t>
  </si>
  <si>
    <t xml:space="preserve">Revenue YoY growth % (quarterly)</t>
  </si>
  <si>
    <t xml:space="preserve">Q2-Q4 2026 growth rates (10.77% / 10.77% / 6.77%) are CALIBRATED so that FY2026E revenue = FY2025A revenue x 1.11 exactly, i.e. the midpoint of management's 10-12% guidance (8-K 3/18/2026). Q4'26 is set ~4pp lower than Q2/Q3 because Q4'25 already grew +8% YoY (a tougher base comparison). 2027-28: 8%/qtr assumption reflecting continued 'Usio One' cross-sell momentum per management commentary, moderating from the 2026 guidance range.</t>
  </si>
  <si>
    <t xml:space="preserve">Gross margin % (quarterly)</t>
  </si>
  <si>
    <t xml:space="preserve">2025 actuals computed directly from reported GP/Revenue (21.9% / 25.8% / 23.0% / 21.9% by quarter; Q2'25 8-K notes gross margins improved 185bps to 25.8%). 2026Q1 actual was 20.2% (10-Q), management commentary (5/13/2026 8-K) says 'margins are expected to improve over the balance of the year' — Q2-Q4'26 assumptions step up modestly from 22.5% to 23.0%. 2027-28 held at 22.5%, slightly below FY2025's 23.1% reflecting continued mix shift toward lower-margin ACH/complementary revenue per 10-K commentary.</t>
  </si>
  <si>
    <t xml:space="preserve">Stock-based compensation (% of revenue)</t>
  </si>
  <si>
    <t xml:space="preserve">2026Q1 actual SBC was $329,284 / $25,465,774 = 1.29%. 2025 quarterly SBC ranged 1.6%-2.2% of revenue (10-Qs); the downward trend (2026Q1 lower than all 2025 quarters) reflects management's 5/13/2026 commentary that Total SG&amp;A was 'down...primarily due to lower...stock-based compensation expense'. 1.3% held for 2026Q2-2028.</t>
  </si>
  <si>
    <t xml:space="preserve">Other SG&amp;A (% of revenue)</t>
  </si>
  <si>
    <t xml:space="preserve">2026Q1 actual other SG&amp;A was $4,356,142 / $25,465,774 = 17.1%. Management's 8-K 5/13/2026 states SG&amp;A 'is now at a level that is not expected to materially increase this year' after a sequential $700K reduction. As revenue grows through 2026-28 with SG&amp;A roughly flat in dollar terms, this ratio is assumed to decline modestly to 16.5% (operating leverage).</t>
  </si>
  <si>
    <t xml:space="preserve">Depreciation &amp; amortization (% of revenue)</t>
  </si>
  <si>
    <t xml:space="preserve">2026Q1 actual D&amp;A was $225,745 / $25,465,774 = 0.89%, sharply down from ~2.0-2.5% in 2025 quarters because intangibles were nearly fully amortized by 12/31/2025 ($9,759 net per 10-K). 1.1% assumed forward, allowing for amortization of newly capitalized software/PP&amp;E from ongoing capex.</t>
  </si>
  <si>
    <t xml:space="preserve">Effective tax rate %</t>
  </si>
  <si>
    <t xml:space="preserve">2026Q1 actual effective tax rate was $171,874 / $294,377 pretax = 58.4% (federal $67,084 + state $104,790), reflecting state tax burden on modest pretax income plus continued conservatism on DTA utilization. 30% assumed for 2026Q2-2028 as pretax income normalizes (blended state + reduced federal burden as NOLs are utilized).</t>
  </si>
  <si>
    <t xml:space="preserve">Other income, net ($000/quarter)</t>
  </si>
  <si>
    <t xml:space="preserve">2026Q1 actual 'other income, net' = interest income $91.5K - interest expense $22.8K + other income $68.7K = $137.3K. Held flat at $137K/quarter for 2026Q2-2028 (no specific guidance on interest income trajectory; settlement balances roughly stable as % of revenue).</t>
  </si>
  <si>
    <t xml:space="preserve">Diluted weighted avg. shares (000)</t>
  </si>
  <si>
    <t xml:space="preserve">2026Q1 actual diluted weighted avg shares = 27,748,037 (10-Q). Modest continued dilution from option exercises offsetting buybacks assumed (27,800K held through 2028).</t>
  </si>
  <si>
    <t xml:space="preserve">WORKING CAPITAL &amp; BALANCE SHEET DRIVERS</t>
  </si>
  <si>
    <t xml:space="preserve">Days Sales Outstanding (AR) - days</t>
  </si>
  <si>
    <t xml:space="preserve">AR was $5,274,586 at 12/31/2025 and $5,418,653 at 3/31/2026 (10-Q actuals). On a quarterly revenue base of ~$22-25M, this implies ~19-20 days. Held at 19 days for 2026Q2-2028.</t>
  </si>
  <si>
    <t xml:space="preserve">Days Payable Outstanding (AP) - days</t>
  </si>
  <si>
    <t xml:space="preserve">AP was $880,590 at 12/31/2025 and $1,275,061 at 3/31/2026 (10-Q actuals), vs Q1'26 cost of services of $20.3M / 91 days = $223K/day -&gt; ~5.7 days; rounded to 7 to allow for modest growth.</t>
  </si>
  <si>
    <t xml:space="preserve">Settlement processing assets/obligations (% of revenue, quarterly)</t>
  </si>
  <si>
    <t xml:space="preserve">Settlement processing assets EXACTLY equal settlement processing obligations at both 12/31/2025 ($74.18M) and 3/31/2026 ($69.52M) per the 10-Q — confirming Usio passes these balances through 1:1 (asset = liability). As a multiple of quarterly revenue: $74.18M/$22.24M=3.33x (12/31/25) and $69.52M/$25.47M=2.73x (3/31/26). 2.80x assumed forward (mid-range, reflecting quarter-end volume timing volatility).</t>
  </si>
  <si>
    <t xml:space="preserve">Prepaid card load assets/obligations (% of revenue, quarterly)</t>
  </si>
  <si>
    <t xml:space="preserve">Prepaid card load assets EXACTLY equal prepaid card load obligations: $27.62M (12/31/25) and $15.47M (3/31/26) — also a 1:1 pass-through. As multiple of quarterly revenue: 1.24x (12/31/25) and 0.61x (3/31/26), a sharp Q4-&gt;Q1 decline reflecting seasonal prepaid card loads (holiday gift cards). 0.65x assumed as a non-seasonal baseline for 2026Q2-2028 (mid-year levels typically below Q4 holiday peak).</t>
  </si>
  <si>
    <t xml:space="preserve">Customer deposits (% of revenue, quarterly)</t>
  </si>
  <si>
    <t xml:space="preserve">Customer deposits $2.28M (12/31/25) and $2.24M (3/31/26) vs quarterly revenue of $22.24M/$25.47M = 0.10x / 0.09x. Held at 0.10x.</t>
  </si>
  <si>
    <t xml:space="preserve">Merchant reserves (% of revenue, quarterly)</t>
  </si>
  <si>
    <t xml:space="preserve">Merchant reserves $4.80M (12/31/25) and $4.62M (3/31/26) vs quarterly revenue = 0.22x / 0.18x. Held at 0.20x.</t>
  </si>
  <si>
    <t xml:space="preserve">Capex &amp; capitalized software (% of revenue, quarterly)</t>
  </si>
  <si>
    <t xml:space="preserve">2026Q1 actual capex + capitalized software = ($398,072 + $215,532) / $25,465,774 = 2.41%, elevated due to the new printer install (10-K: 'new printer in September 2025 that will be installed and operational in the first half of 2026'). 2.0% assumed as a normalized run-rate for 2026Q2-2028.</t>
  </si>
  <si>
    <t xml:space="preserve">Share repurchases ($000/quarter)</t>
  </si>
  <si>
    <t xml:space="preserve">2026Q1 actual buybacks = $233,459 (10-Q). FY2025 totaled $1.1M (~$275K/qtr avg). $150K/quarter assumed for 2026Q2-2028, a modest pace consistent with 'strong, essentially unlevered balance sheet' commentary supporting ongoing repurchases (10-K).</t>
  </si>
  <si>
    <t xml:space="preserve">Usio, Inc. — Revenue Build: Segment Detail &amp; Processing Volume Drivers</t>
  </si>
  <si>
    <t xml:space="preserve">($ in thousands except volume/transaction KPIs). BLUE = hardcoded actuals or KPI drivers.</t>
  </si>
  <si>
    <t xml:space="preserve">Fiscal Period</t>
  </si>
  <si>
    <t xml:space="preserve">PROCESSING VOLUME &amp; TRANSACTION KPIs (memo)</t>
  </si>
  <si>
    <t xml:space="preserve">Total payment dollar volume processed ($B)</t>
  </si>
  <si>
    <t xml:space="preserve">ACTUALS: Q1 2025 = $2.0B (8-K 5/14/2025, +34% YoY, implies Q1 2024 ~$1.49B); Q3 2025 = $2.18B (8-K 11/12/2025, +8% YoY); 2026Q1 = $2.50B (10-Q/earnings call, +28% YoY). FY2025 total = $8.4B (+19% YoY from $7.1B in FY2024, per 8-K 3/18/2026 / Annual Letter). Q2 2025 ($2.00B) and Q4 2025 ($2.22B) are ESTIMATED RESIDUALS (FY2025 total minus Q1+Q3, split ~evenly with a slight seasonal Q4 skew) since exact quarterly $ volumes for Q2/Q4 2025 were not located in the retrieved disclosures -- Q2 growth of +15% YoY and Q4 growth were qualitatively disclosed but absolute dollar figures were not. 2026Q2-2028: prior-year-quarter x (1+ volume growth %, row 9 below) -- a memo metric, NOT used directly to drive revenue (revenue is segment-driven below), but shown for cross-checking against management's volume commentary.</t>
  </si>
  <si>
    <t xml:space="preserve">Total payment transactions processed (millions)</t>
  </si>
  <si>
    <t xml:space="preserve">ACTUALS: Q1 2025 = 13.7M (+41% YoY, 8-K 5/14/2025); Q3 2025 = 16.2M (+27% YoY, 8-K 11/12/2025); 2026Q1 = 16.7M (= 13.7M x 1.22, +22% YoY per earnings call -- 10-Q press release rounds total Q1'26 transactions slightly differently). FY2025 total = 60.4M (+29% YoY from 47.0M in FY2024, per Annual Letter 1/21/2026). Q2 2025 (14.5M) and Q4 2025 (16.0M) are ESTIMATED RESIDUALS (FY2025 total minus Q1+Q3, split with a slight Q4 seasonal skew) -- exact figures not located in retrieved disclosures.</t>
  </si>
  <si>
    <t xml:space="preserve">   Volume growth % YoY (driver for 2026Q2-2028)</t>
  </si>
  <si>
    <t xml:space="preserve">2026Q2-2028: 12% YoY volume growth assumed (between the +28% pace of 2026Q1 and the high single digits seen in slower 2025 quarters), reflecting moderation from the record-volume momentum cited in the Q1 2026 earnings call as new programs (school voucher disbursements &gt;$1B, PostCredit) ramp through 2026-2028.</t>
  </si>
  <si>
    <t xml:space="preserve">   Transaction growth % YoY (driver for 2026Q2-2028)</t>
  </si>
  <si>
    <t xml:space="preserve">2026Q2-2028: 15% YoY transaction growth assumed, consistent with the company's multi-year trend of transaction growth outpacing dollar volume growth (driven by smaller-ticket, higher-frequency ACH/PINless debit transactions).</t>
  </si>
  <si>
    <t xml:space="preserve">Prepaid card load volume ($M, annual only -- memo)</t>
  </si>
  <si>
    <t xml:space="preserve">FY2025 prepaid card load volume fell to ~$300M from ~$500M in FY2024 (Annual Letter 1/21/2026), driven by the loss of a reseller's amusement park card program. Quarterly split not disclosed.</t>
  </si>
  <si>
    <t xml:space="preserve">SEGMENT REVENUE ($000)</t>
  </si>
  <si>
    <t xml:space="preserve">ACH &amp; Complementary Services</t>
  </si>
  <si>
    <t xml:space="preserve">ACTUALS: Q1 2025 = $5,044.5K (10-Q segment table, exact). Q2 2025 = $5,192.2K and Q3 2025 = $5,844.3K (10-Qs, exact, derived from disclosed cumulative figures). Q4 2025 = $6,085.7K (back-solved: FY2025 ACH grew $5.5M / 33% per 8-K 3/18/2026, so FY2025 ACH = FY2024 ACH x 1.33; Q4 = FY total less 9-month actual). 2026Q1 = $6,305.6K actual (10-Q/earnings call: ACH revenue +25% YoY). 2026Q2-2028: prior-year-quarter x (1 + total revenue growth driver, Assumptions row 8) -- i.e., this segment is assumed to grow in line with the consolidated growth rate used to calibrate to guidance.</t>
  </si>
  <si>
    <t xml:space="preserve">Credit Card (incl. PayFac)</t>
  </si>
  <si>
    <t xml:space="preserve">ACTUALS: Q1 2025 = $7,878.7K, Q2 2025 = $7,045.0K, Q3 2025 = $7,351.4K (10-Qs, exact, PayFac was &gt;50% of card revenue by Q1 2025). Q4 2025 = $7,600.0K (estimated; FY2025 credit card revenue grew 3% per 8-K 3/18/2026, with non-legacy PayFac book growing 7% mitigating legacy attrition -- Q4 figure is the implied residual). 2026Q1 = $9,690.8K actual (10-Q/earnings call: 'record $9.7 million', +23% YoY, PayFac = 78% of segment revenue). 2026Q2-2028: prior-year-quarter x (1 + total revenue growth driver, Assumptions row 8).</t>
  </si>
  <si>
    <t xml:space="preserve">Output Solutions</t>
  </si>
  <si>
    <t xml:space="preserve">ACTUALS: Q1 2025 = $5,732.9K (10-Q, exact, +4% YoY). Q2/Q3 2025 estimated as residuals (see segment allocation methodology note below); FY2025 Output Solutions revenue was roughly flat YoY per 8-K 3/18/2026 ('Output Solutions revenues were flat on the year... with revenue ramping up especially in the fourth quarter'). 2026Q1 = $6,822.1K actual (10-Q/earnings call: +19% YoY, 'accelerated from 8% in the preceding quarter' -- consistent with Q4 2025 acceleration). 2026Q2-2028: prior-year-quarter x (1 + total revenue growth driver, Assumptions row 8). The new high-speed printer (operational H1 2026, per 10-K) supports continued growth in this segment.</t>
  </si>
  <si>
    <t xml:space="preserve">Prepaid Card Services</t>
  </si>
  <si>
    <t xml:space="preserve">ACTUALS: Q1 2025 = $2,907.5K (10-Q, exact, -13% YoY as COVID-era prepaid programs wound down). Q2 2025 down ~26% YoY (8-K 8/6/2025, loss of a reseller's downstream customer); Q3 2025 prepaid card LOAD VOLUME down 46% YoY (8-K 11/12/2025). FY2025 prepaid card load volume fell to ~$300M from ~$500M (Annual Letter 1/21/2026), driven by the loss of a reseller's amusement park card program. 2026Q1 = $2,384.1K actual (10-Q/earnings call: -18% YoY, 'weaker prepaid card services'). Quarterly Q2-Q4 2025 dollar splits are ESTIMATED (allocated from the known quarterly total-revenue residual, scaling down the prepaid share progressively per the disclosed volume-decline commentary). 2026Q2-2028: prior-year-quarter x (1 + total revenue growth driver, Assumptions row 8) -- this likely OVERSTATES prepaid given the structural decline, but is retained for simplicity since prepaid is now a small (~10%) and shrinking share of total revenue; consider lowering this segment's growth assumption independently if more granular guidance becomes available.</t>
  </si>
  <si>
    <t xml:space="preserve">Interest Revenue, by segment</t>
  </si>
  <si>
    <t xml:space="preserve">   Interest - ACH &amp; complementary services</t>
  </si>
  <si>
    <t xml:space="preserve">Interest revenue (3 lines): ACTUALS for Q1 2025 (10-Q exact) and 2026Q1 (back-solved). 2026Q2-2028: grown at the same consolidated revenue growth rate as the four main segments (Assumptions row 8), for consistency with the guidance-midpoint calibration. In practice interest revenue may behave differently (it depends on rates and settlement-balance levels, not transaction volume), so this is a simplification -- but interest is now a small (~1%) and declining share of total revenue.</t>
  </si>
  <si>
    <t xml:space="preserve">   Interest - Prepaid card services</t>
  </si>
  <si>
    <t xml:space="preserve">   Interest - Output Solutions</t>
  </si>
  <si>
    <t xml:space="preserve">Interest revenue (3 lines): ACTUALS for Q1 2025 (10-Q exact: $224.1K / $182.7K / $38.7K) and 2026Q1 (back-solved from total revenue less the four segment lines above = $263.1K total, allocated using Q1 2025 proportions: ~85% ACH, ~13% prepaid, ~2% Output). Q2-Q4 2025 estimated similarly as part of the segment-allocation residual. 2026Q2-2028: held FLAT at the prior quarter's level (interest rates and settlement-balance levels assumed roughly stable; this is a small, declining share of total revenue, ~1% by 2026).</t>
  </si>
  <si>
    <t xml:space="preserve">TOTAL REVENUE</t>
  </si>
  <si>
    <t xml:space="preserve">   Total revenue growth % YoY</t>
  </si>
  <si>
    <t xml:space="preserve">Segment Mix (% of Total Revenue)</t>
  </si>
  <si>
    <t xml:space="preserve">ACH &amp; Complementary Services %</t>
  </si>
  <si>
    <t xml:space="preserve">Credit Card %</t>
  </si>
  <si>
    <t xml:space="preserve">Output Solutions %</t>
  </si>
  <si>
    <t xml:space="preserve">Prepaid Card Services %</t>
  </si>
  <si>
    <t xml:space="preserve">Note: Income Statement!row6 (Revenue) links directly to this tab's Total Revenue (row 22) for all periods.</t>
  </si>
  <si>
    <t xml:space="preserve">Usio, Inc. — Consolidated Income Statement (Quarterly)</t>
  </si>
  <si>
    <t xml:space="preserve">($ in thousands, except per-share data)</t>
  </si>
  <si>
    <t xml:space="preserve">Revenue</t>
  </si>
  <si>
    <t xml:space="preserve">2025: exact quarterly revenue from 10-Qs (Q1-Q3) and 8-K 3/18/2026 (Q4 $22.24M). 2026Q1: $25,465,774 actual (10-Q, +15.7% YoY). 2026Q2-2028: prior-year-quarter x (1+YoY growth driver, Assumptions row 8), with 2026 calibrated to the 11% guidance midpoint (see Assumptions and Guidance &amp; Street Recon tabs).</t>
  </si>
  <si>
    <t xml:space="preserve">   Revenue growth % YoY</t>
  </si>
  <si>
    <t xml:space="preserve">Gross Profit</t>
  </si>
  <si>
    <t xml:space="preserve">2025 &amp; 2026Q1: exact actuals from 10-Qs/8-K. 2026Q2-2028: Revenue x Gross margin % (Assumptions row 9).</t>
  </si>
  <si>
    <t xml:space="preserve">   Gross margin %</t>
  </si>
  <si>
    <t xml:space="preserve">Cost of services (implied)</t>
  </si>
  <si>
    <t xml:space="preserve">Operating Expenses</t>
  </si>
  <si>
    <t xml:space="preserve">Stock-based compensation</t>
  </si>
  <si>
    <t xml:space="preserve">2025 &amp; 2026Q1: exact actuals (10-Qs). 2026Q2-2028: Revenue x SBC % (Assumptions row 10).</t>
  </si>
  <si>
    <t xml:space="preserve">Other SG&amp;A</t>
  </si>
  <si>
    <t xml:space="preserve">2025: Q1-Q3 exact from 10-Qs; Q4 back-solved so FY2025 SBC+Other SG&amp;A+D&amp;A = $18.4M (10-K) using Q1-Q3 average proportions. 2026Q1: exact actual ($4,356,142). 2026Q2-2028: Revenue x Other SG&amp;A % (Assumptions row 11).</t>
  </si>
  <si>
    <t xml:space="preserve">Depreciation &amp; amortization</t>
  </si>
  <si>
    <t xml:space="preserve">2025 &amp; 2026Q1: exact actuals. 2026Q2-2028: Revenue x D&amp;A % (Assumptions row 12).</t>
  </si>
  <si>
    <t xml:space="preserve">Total Operating Expenses</t>
  </si>
  <si>
    <t xml:space="preserve">Operating Income (Loss)</t>
  </si>
  <si>
    <t xml:space="preserve">   Operating margin %</t>
  </si>
  <si>
    <t xml:space="preserve">Other income (loss), net</t>
  </si>
  <si>
    <t xml:space="preserve">2025 Q1-Q4: for 2025 this row is a single below-the-line plug = (reported quarterly net income) - (modeled operating income), so each quarter ties exactly to its disclosed net income/loss (Q1 $(0.235M), Q2 $(0.367M), Q3 $(0.4M), Q4 $(1.5M)). The large Q4 item (~$(2.68M)) likely reflects a tax valuation-allowance adjustment and/or acquisition-related charges not separately disclosed in the retrieved press release. 2026Q1: exact actual (interest income $91.5K - interest expense $22.8K + other income $68.7K = $137.3K, pre-tax). 2026Q2-2028: Assumptions row 14 ($137K/qtr).</t>
  </si>
  <si>
    <t xml:space="preserve">Pre-tax Income (Loss)</t>
  </si>
  <si>
    <t xml:space="preserve">Income tax expense (benefit)</t>
  </si>
  <si>
    <t xml:space="preserve">2025 Q1-Q4: set to zero — actual tax effects are embedded in the 'Other income, net' plug above (row 16) so quarterly net income ties to disclosed actuals without double-counting. 2026Q1: exact actual ($171,874 = federal $67,084 + state $104,790). 2026Q2-2028: Pre-tax income x Effective tax rate (Assumptions row 13).</t>
  </si>
  <si>
    <t xml:space="preserve">Net Income (Loss)</t>
  </si>
  <si>
    <t xml:space="preserve">   Net margin %</t>
  </si>
  <si>
    <t xml:space="preserve">2025Q1 and 2026Q1: exact actuals from 10-Qs (26,615,947 and 27,748,037). 2025Q2-Q4: interpolated (consistent with FY2025 weighted avg of ~27.45M reported in earlier filings). 2026Q2-2028: Assumptions row 15.</t>
  </si>
  <si>
    <t xml:space="preserve">Diluted EPS</t>
  </si>
  <si>
    <t xml:space="preserve">Memo: EBITDA &amp; Adj. EBITDA</t>
  </si>
  <si>
    <t xml:space="preserve">EBITDA (Op. Income + D&amp;A)</t>
  </si>
  <si>
    <t xml:space="preserve">Adj. EBITDA (EBITDA + SBC)</t>
  </si>
  <si>
    <t xml:space="preserve">Model proxy for management's non-GAAP 'Adjusted EBITDA' (EBITDA + stock-based compensation). Company-reported Adj. EBITDA: FY2025 $1.3M, FY2024 $2.9M, 2026Q1 $0.8M (beat consensus by 12% per 8-K 5/13/2026). Compare to this row for a sanity check — see Guidance &amp; Street Recon tab.</t>
  </si>
  <si>
    <t xml:space="preserve">   Adj. EBITDA margin %</t>
  </si>
  <si>
    <t xml:space="preserve">Usio, Inc. — Consolidated Balance Sheet (Quarterly, period-end)</t>
  </si>
  <si>
    <t xml:space="preserve">($ in thousands). Annual columns (F,K,P,U) = same as Q4 of that year (year-end balance sheet), shown for reference.</t>
  </si>
  <si>
    <t xml:space="preserve">Period-end</t>
  </si>
  <si>
    <t xml:space="preserve">ASSETS</t>
  </si>
  <si>
    <t xml:space="preserve">Current Assets</t>
  </si>
  <si>
    <t xml:space="preserve">Cash &amp; cash equivalents</t>
  </si>
  <si>
    <t xml:space="preserve">ACTUALS: $7,434,051 at 12/31/2025 and $7,728,795 at 3/31/2026 (Q1 2026 10-Q balance sheet — note this differs slightly from the $7.5M figure cited in the earnings-call transcript). 2025 Q1-Q3 linearly interpolated from FY2024 year-end cash ($7.5M, 10-K) to the FY2025 actual. 2026Q2-2028: linked to Cash Flow Statement ending cash.</t>
  </si>
  <si>
    <t xml:space="preserve">Accounts receivable, net</t>
  </si>
  <si>
    <t xml:space="preserve">ACTUALS: $5,274,586 (12/31/2025) and $5,418,653 (3/31/2026), both per Q1 2026 10-Q balance sheet. 2025 Q1-Q3 estimated via Revenue/91 days x 19-day DSO (consistent with the actual ratios at quarter-ends). 2026Q2-2028: Revenue/91 x DSO (Assumptions row 18).</t>
  </si>
  <si>
    <t xml:space="preserve">Settlement processing assets</t>
  </si>
  <si>
    <t xml:space="preserve">ACTUALS: $74,180,475 (12/31/2025) and $69,522,444 (3/31/2026), EXACTLY equal to settlement processing OBLIGATIONS on the liability side (a 1:1 pass-through), per Q1 2026 10-Q. 2025 Q1-Q3 estimated at 2.80x quarterly revenue (Assumptions row 20). 2026Q2-2028 same driver.</t>
  </si>
  <si>
    <t xml:space="preserve">Prepaid card load assets</t>
  </si>
  <si>
    <t xml:space="preserve">ACTUALS: $27,623,728 (12/31/2025) and $15,466,828 (3/31/2026), EXACTLY equal to prepaid card load OBLIGATIONS (1:1 pass-through), per Q1 2026 10-Q. The sharp Q4-&gt;Q1 decline reflects seasonal holiday gift-card loads unwinding. 2025 Q1-Q3 estimated at 0.65x quarterly revenue (Assumptions row 21, a non-seasonal baseline). 2026Q2-2028 same driver.</t>
  </si>
  <si>
    <t xml:space="preserve">Customer deposits (asset)</t>
  </si>
  <si>
    <t xml:space="preserve">ACTUALS: $2,281,220 (12/31/2025), $2,239,829 (3/31/2026), per Q1 2026 10-Q (also mirrors the liability side). Driver = Revenue x 0.10x (Assumptions row 22).</t>
  </si>
  <si>
    <t xml:space="preserve">Inventory</t>
  </si>
  <si>
    <t xml:space="preserve">ACTUALS: $461,675 (12/31/2025), $392,873 (3/31/2026), per Q1 2026 10-Q (Output Solutions print/mail supplies inventory). Held flat going forward absent a specific driver.</t>
  </si>
  <si>
    <t xml:space="preserve">Merchant reserves</t>
  </si>
  <si>
    <t xml:space="preserve">ACTUALS: $4,795,537 (12/31/2025), $4,617,537 (3/31/2026), per Q1 2026 10-Q. Driver = Revenue x 0.20x (Assumptions row 23).</t>
  </si>
  <si>
    <t xml:space="preserve">Prepaid expenses &amp; other current</t>
  </si>
  <si>
    <t xml:space="preserve">ACTUALS: $1,359,382 (12/31/2025), $1,903,690 (3/31/2026), per Q1 2026 10-Q. Held flat at the 3/31/26 level for projections absent a specific driver.</t>
  </si>
  <si>
    <t xml:space="preserve">Total Current Assets</t>
  </si>
  <si>
    <t xml:space="preserve">Non-Current Assets</t>
  </si>
  <si>
    <t xml:space="preserve">Property &amp; equipment, net</t>
  </si>
  <si>
    <t xml:space="preserve">ACTUALS: $4,157,393 (12/31/2025), $4,545,252 (3/31/2026), per Q1 2026 10-Q (the increase reflects the new printer installation per 10-K). 2026Q2-2028: prior + (Revenue x Capex% driver, Assumptions row 24) - D&amp;A.</t>
  </si>
  <si>
    <t xml:space="preserve">Intangibles, net</t>
  </si>
  <si>
    <t xml:space="preserve">ACTUALS: $9,759, unchanged 12/31/2025 to 3/31/2026 (nearly fully amortized per 10-K). Held flat.</t>
  </si>
  <si>
    <t xml:space="preserve">Deferred tax asset, net</t>
  </si>
  <si>
    <t xml:space="preserve">ACTUALS: $4,526,228 (12/31/2025), $4,459,144 (3/31/2026). 2026Q2-2028: prior balance less modeled income tax expense (NOL utilization), floored at zero.</t>
  </si>
  <si>
    <t xml:space="preserve">Operating lease ROU assets</t>
  </si>
  <si>
    <t xml:space="preserve">ACTUALS: $2,423,231 (12/31/2025), $3,524,650 (3/31/2026) — increase reflects new lease(s) per 10-Q. 2026Q2-2028: amortizing ~3%/qtr absent further lease additions.</t>
  </si>
  <si>
    <t xml:space="preserve">Other non-current assets</t>
  </si>
  <si>
    <t xml:space="preserve">ACTUALS: $362,949, unchanged 12/31/2025 to 3/31/2026. Held flat.</t>
  </si>
  <si>
    <t xml:space="preserve">Total Non-Current Assets</t>
  </si>
  <si>
    <t xml:space="preserve">TOTAL ASSETS</t>
  </si>
  <si>
    <t xml:space="preserve">LIABILITIES &amp; STOCKHOLDERS' EQUITY</t>
  </si>
  <si>
    <t xml:space="preserve">Current Liabilities</t>
  </si>
  <si>
    <t xml:space="preserve">Accounts payable</t>
  </si>
  <si>
    <t xml:space="preserve">ACTUALS: $880,590 (12/31/2025), $1,275,061 (3/31/2026). Driver = Cost of Services/91 x DPO (Assumptions row 19, ~7 days).</t>
  </si>
  <si>
    <t xml:space="preserve">Accrued expenses</t>
  </si>
  <si>
    <t xml:space="preserve">ACTUALS: $3,326,445 (12/31/2025), $4,052,640 (3/31/2026). 2026Q2-2028 scaled with revenue relative to 2026Q1.</t>
  </si>
  <si>
    <t xml:space="preserve">Operating lease liabilities, current</t>
  </si>
  <si>
    <t xml:space="preserve">ACTUALS: $639,805 (12/31/2025), $756,708 (3/31/2026). 2026Q2-2028: held roughly flat (-1%/qtr).</t>
  </si>
  <si>
    <t xml:space="preserve">Equipment loan, current portion</t>
  </si>
  <si>
    <t xml:space="preserve">ACTUALS: $289,317 (12/31/2025), $337,544 (3/31/2026). Held flat going forward.</t>
  </si>
  <si>
    <t xml:space="preserve">Settlement processing obligations</t>
  </si>
  <si>
    <t xml:space="preserve">Exactly equals Settlement processing assets (row 10) per 10-Q — a 1:1 pass-through liability.</t>
  </si>
  <si>
    <t xml:space="preserve">Prepaid card load obligations</t>
  </si>
  <si>
    <t xml:space="preserve">Exactly equals Prepaid card load assets (row 11) per 10-Q — a 1:1 pass-through liability.</t>
  </si>
  <si>
    <t xml:space="preserve">Customer deposits (liability)</t>
  </si>
  <si>
    <t xml:space="preserve">Exactly equals Customer deposits (asset, row 12) per 10-Q — a 1:1 pass-through liability.</t>
  </si>
  <si>
    <t xml:space="preserve">Merchant reserve obligations</t>
  </si>
  <si>
    <t xml:space="preserve">Exactly equals Merchant reserves (asset, row 14) per 10-Q — a 1:1 pass-through liability.</t>
  </si>
  <si>
    <t xml:space="preserve">Total Current Liabilities</t>
  </si>
  <si>
    <t xml:space="preserve">Non-Current Liabilities</t>
  </si>
  <si>
    <t xml:space="preserve">Equipment loan, non-current</t>
  </si>
  <si>
    <t xml:space="preserve">ACTUALS: $1,074,711 (12/31/2025), $987,996 (3/31/2026). 2026Q2-2028: amortizing ~5%/qtr.</t>
  </si>
  <si>
    <t xml:space="preserve">Operating lease liabilities, non-current</t>
  </si>
  <si>
    <t xml:space="preserve">ACTUALS: $1,885,983 (12/31/2025), $2,790,905 (3/31/2026) — increase reflects new lease per 10-Q. 2026Q2-2028: amortizing ~2%/qtr.</t>
  </si>
  <si>
    <t xml:space="preserve">Total Non-Current Liabilities</t>
  </si>
  <si>
    <t xml:space="preserve">TOTAL LIABILITIES</t>
  </si>
  <si>
    <t xml:space="preserve">Stockholders' Equity</t>
  </si>
  <si>
    <t xml:space="preserve">Common stock + APIC, net of treasury &amp; deferred comp</t>
  </si>
  <si>
    <t xml:space="preserve">ACTUALS computed from Q1 2026 10-Q components: 12/31/2025 = common stock $31,562 + APIC $102,363,590 - treasury stock $6,837,181 - deferred compensation $7,100,573 = $88,457,398. 3/31/2026 = $31,667+$102,455,703-$7,070,640-$6,849,327 = $88,567,403. 2026Q2-2028: prior + Stock-based compensation expense (Income Statement row 13) - share repurchases (Assumptions row 25).</t>
  </si>
  <si>
    <t xml:space="preserve">Accumulated deficit</t>
  </si>
  <si>
    <t xml:space="preserve">ACTUALS: $(70,544,995) at 12/31/2025 and $(70,422,492) at 3/31/2026, per Q1 2026 10-Q (the $122,503 improvement = 2026Q1 net income, ties exactly: -70,544.995+122.503=-70,422.492 ✓). 2025 Q1-Q3 backed out from the 12/31/2025 actual using each quarter's modeled net income (Income Statement row 24). 2026Q2-2028: prior balance + Net Income.</t>
  </si>
  <si>
    <t xml:space="preserve">TOTAL STOCKHOLDERS' EQUITY</t>
  </si>
  <si>
    <t xml:space="preserve">TOTAL LIABILITIES &amp; EQUITY</t>
  </si>
  <si>
    <t xml:space="preserve">Balance check (Assets - L&amp;E, should = 0)</t>
  </si>
  <si>
    <t xml:space="preserve">Usio, Inc. — Consolidated Statement of Cash Flows (Quarterly)</t>
  </si>
  <si>
    <t xml:space="preserve">($ in thousands)</t>
  </si>
  <si>
    <t xml:space="preserve">Cash Flows from Operating Activities</t>
  </si>
  <si>
    <t xml:space="preserve">Net income (loss)</t>
  </si>
  <si>
    <t xml:space="preserve">Add back: Depreciation &amp; amortization</t>
  </si>
  <si>
    <t xml:space="preserve">Add back: Stock-based compensation</t>
  </si>
  <si>
    <t xml:space="preserve">Changes in working capital:</t>
  </si>
  <si>
    <t xml:space="preserve">   (Increase)/decrease in accounts receivable</t>
  </si>
  <si>
    <t xml:space="preserve">2025Q1 set to 0 (no FY2024Q4 balance sheet available as starting point). All other quarters = prior quarter AR minus current quarter AR.</t>
  </si>
  <si>
    <t xml:space="preserve">   Increase/(decrease) in accounts payable</t>
  </si>
  <si>
    <t xml:space="preserve">   Increase/(decrease) in accrued expenses</t>
  </si>
  <si>
    <t xml:space="preserve">   (Increase)/decrease in deferred tax asset</t>
  </si>
  <si>
    <t xml:space="preserve">Decrease in DTA balance (NOL utilization) = source of cash; reverses the non-cash tax expense already reflected in Net Income.</t>
  </si>
  <si>
    <t xml:space="preserve">   Change in settlement/prepaid/customer-deposit/reserve balances, net</t>
  </si>
  <si>
    <t xml:space="preserve">Since settlement/prepaid/customer-deposit/merchant-reserve assets and liabilities move 1:1 (asset=liability, confirmed by 10-Q actuals), the net cash impact of these balances nets to exactly zero in this model — included for completeness and as a placeholder should the asset/liability driver assumptions ever diverge.</t>
  </si>
  <si>
    <t xml:space="preserve">   Other working capital changes (inventory, prepaid exp., leases), net</t>
  </si>
  <si>
    <t xml:space="preserve">Plug capturing changes in inventory and prepaid expenses/other current assets. Operating lease ROU assets are now constructed to move exactly with operating lease liabilities (Balance Sheet), so those items net to zero in this cash flow reconciliation by design.</t>
  </si>
  <si>
    <t xml:space="preserve">Net Cash from Operating Activities</t>
  </si>
  <si>
    <t xml:space="preserve">2026Q1 actual operating cash flow was $946,724 (10-Q) vs management commentary of '$0.9 million' (8-K 5/13/2026). FY2025 operating cash flow was reported as positive but not separately quantified in the retrieved excerpts; the modeled FY2025A figure here reflects the 2025Q1-Q3 working-capital interpolations described on the Balance Sheet tab and should be treated as directional rather than exact for FY2025.</t>
  </si>
  <si>
    <t xml:space="preserve">Cash Flows from Investing Activities</t>
  </si>
  <si>
    <t xml:space="preserve">Capital expenditures &amp; capitalized software</t>
  </si>
  <si>
    <t xml:space="preserve">2025Q1 and 2026Q1 actuals from the Q1 2026 10-Q cash flow statement (purchases of PP&amp;E + capitalized internal-use software): $313,254 (Q1 2025) and $613,604 (Q1 2026, elevated due to the new printer installation per 10-K). 2025 Q2-Q4 held at the Q1 2025 level absent quarterly cash-flow detail. 2026Q2-2028: Revenue x Capex % (Assumptions row 24).</t>
  </si>
  <si>
    <t xml:space="preserve">Cash, end of period</t>
  </si>
  <si>
    <t xml:space="preserve">Cash Flows from Financing Activities</t>
  </si>
  <si>
    <t xml:space="preserve">Share repurchases</t>
  </si>
  <si>
    <t xml:space="preserve">2025Q1 ($351,640) and 2026Q1 ($233,459) are exact actuals from 10-Qs. 2025 Q2-Q4 are estimates summing to FY2025's disclosed total of $1.1M ($351,640+300+250+300,872=$1,202,512 — close to the $1.1M figure cited, difference reflects rounding/timing in press release commentary). 2026Q2-2028: Assumptions row 25 ($150K/qtr).</t>
  </si>
  <si>
    <t xml:space="preserve">Equipment loan, net repayments</t>
  </si>
  <si>
    <t xml:space="preserve">2025Q1 actual repayment = $36,110 (Q1 2026 10-Q comparative column). Other quarters = change in total equipment loan balances (Balance Sheet).</t>
  </si>
  <si>
    <t xml:space="preserve">Proceeds from stock option exercises</t>
  </si>
  <si>
    <t xml:space="preserve">2025Q1 ($11,515) and 2026Q1 ($14,180) actual from 10-Qs. Other quarters estimated at ~$10-12K/qtr.</t>
  </si>
  <si>
    <t xml:space="preserve">Net Cash from (used in) Financing Activities</t>
  </si>
  <si>
    <t xml:space="preserve">Net Increase (Decrease) in Cash</t>
  </si>
  <si>
    <t xml:space="preserve">Cash, beginning of period</t>
  </si>
  <si>
    <t xml:space="preserve">Usio, Inc. — Guidance &amp; Street Estimate Reconciliation</t>
  </si>
  <si>
    <t xml:space="preserve">All $ in thousands except per-share data</t>
  </si>
  <si>
    <t xml:space="preserve">FY2026 Management Guidance Reconciliation</t>
  </si>
  <si>
    <t xml:space="preserve">Metric</t>
  </si>
  <si>
    <t xml:space="preserve">Value</t>
  </si>
  <si>
    <t xml:space="preserve">Source / Note</t>
  </si>
  <si>
    <t xml:space="preserve">FY2025A Revenue (actual)</t>
  </si>
  <si>
    <t xml:space="preserve">10-K / 8-K (3/18/2026)</t>
  </si>
  <si>
    <t xml:space="preserve">Management guidance: FY2026 revenue growth range</t>
  </si>
  <si>
    <t xml:space="preserve">10% - 12%</t>
  </si>
  <si>
    <t xml:space="preserve">8-K 3/18/2026: 'continues to expect strong 10-12% growth in revenue in 2026'</t>
  </si>
  <si>
    <t xml:space="preserve">Guidance midpoint growth %</t>
  </si>
  <si>
    <t xml:space="preserve">Midpoint of 10-12% range</t>
  </si>
  <si>
    <t xml:space="preserve">Implied FY2026E revenue at guidance midpoint</t>
  </si>
  <si>
    <t xml:space="preserve">FY2025A Revenue x 1.11</t>
  </si>
  <si>
    <t xml:space="preserve">Model's FY2026E revenue (this workbook)</t>
  </si>
  <si>
    <t xml:space="preserve">Sum of 2026Q1A (actual) + Q2-Q4E (Assumptions tab growth drivers)</t>
  </si>
  <si>
    <t xml:space="preserve">Variance: Model vs. Guidance Midpoint</t>
  </si>
  <si>
    <t xml:space="preserve">Model is calibrated so Q2-Q4'26 growth rates (Assumptions row 8) produce a result that matches the guidance midpoint almost exactly (rounding only).</t>
  </si>
  <si>
    <t xml:space="preserve">Model's FY2026E revenue growth %</t>
  </si>
  <si>
    <t xml:space="preserve">Within the 10%-12% guided range, at the 11.0% midpoint.</t>
  </si>
  <si>
    <t xml:space="preserve">Management commentary: continued positive Adjusted EBITDA in 2026</t>
  </si>
  <si>
    <t xml:space="preserve">Model's FY2026E Adj. EBITDA proxy is positive ($5.1M), consistent with guidance for 'continued positive Adjusted EBITDA' (8-K 3/18/2026).</t>
  </si>
  <si>
    <t xml:space="preserve">Street (Wall Street Analyst Consensus) Reconciliation</t>
  </si>
  <si>
    <t xml:space="preserve">Street consensus FY2026 revenue estimate</t>
  </si>
  <si>
    <t xml:space="preserve">Seeking Alpha Earnings Estimates, pulled as of 3/31/2026 ($93.89M)</t>
  </si>
  <si>
    <t xml:space="preserve">Variance: Model vs. Street consensus revenue</t>
  </si>
  <si>
    <t xml:space="preserve">Model (calibrated to guidance midpoint) is roughly $0.9M above the pre-2026Q1-print Street consensus.</t>
  </si>
  <si>
    <t xml:space="preserve">Variance %</t>
  </si>
  <si>
    <t xml:space="preserve">Street consensus FY2026 EPS estimate</t>
  </si>
  <si>
    <t xml:space="preserve">Seeking Alpha Earnings Estimates, pulled as of 3/31/2026</t>
  </si>
  <si>
    <t xml:space="preserve">Model's FY2026E diluted EPS</t>
  </si>
  <si>
    <t xml:space="preserve">Model's FY2026E net income / diluted shares</t>
  </si>
  <si>
    <t xml:space="preserve">Variance: Model vs. Street consensus EPS</t>
  </si>
  <si>
    <t xml:space="preserve">The model projects FY2026E EPS of ~$0.085 (positive), well above the pre-Q1-print Street consensus of $(0.04). This large gap is explained below: the Street consensus predates the actual 2026Q1 print, which delivered a 9% revenue beat and 12% Adj. EBITDA beat, plus a swing to GAAP profitability (net income $0.12M vs. a Street-implied loss for the quarter).</t>
  </si>
  <si>
    <t xml:space="preserve">2026Q1 Actual vs. Consensus (already reported)</t>
  </si>
  <si>
    <t xml:space="preserve">2026Q1A revenue (actual)</t>
  </si>
  <si>
    <t xml:space="preserve">10-Q: $25,465,774; +15.7% YoY (press release rounds to +16%)</t>
  </si>
  <si>
    <t xml:space="preserve">Reported: '2026Q1 revenue beat consensus by 9%'</t>
  </si>
  <si>
    <t xml:space="preserve">8-K 5/13/2026 press release headline</t>
  </si>
  <si>
    <t xml:space="preserve">Implied pre-print Street estimate for 2026Q1 revenue</t>
  </si>
  <si>
    <t xml:space="preserve">2026Q1A revenue / (1+9%) -- back-solved</t>
  </si>
  <si>
    <t xml:space="preserve">2026Q1A Adj. EBITDA (model proxy)</t>
  </si>
  <si>
    <t xml:space="preserve">Company-reported actual was $0.8M, beating consensus by 12% (8-K 5/13/2026).</t>
  </si>
  <si>
    <t xml:space="preserve">2026Q1A net income (actual)</t>
  </si>
  <si>
    <t xml:space="preserve">10-Q: $122,503 net income (~$0.00 EPS), vs. consensus of $(0.02) EPS, vs. a net loss of $(0.235M) in 2025Q1.</t>
  </si>
  <si>
    <t xml:space="preserve">Why the model is more constructive than pre-print Street consensus</t>
  </si>
  <si>
    <t xml:space="preserve">1. The Street consensus of $93.89M revenue / $(0.04) EPS was pulled on 3/31/2026 -- BEFORE the 2026Q1 print (5/13/2026), which beat that quarter's consensus by 9% on revenue and showed a swing to GAAP profitability.</t>
  </si>
  <si>
    <t xml:space="preserve">2. This model incorporates the actual, reported 2026Q1 results (revenue $25.47M, net income $0.12M) and then calibrates Q2-Q4'26 growth so that FULL-YEAR FY2026E revenue lands at the midpoint of management's reaffirmed 10-12% guidance ($94.78M), which is ~1% above the (now partly stale) Street consensus.</t>
  </si>
  <si>
    <t xml:space="preserve">3. On the bottom line, the model projects FY2026E EPS of ~$0.085 vs. the stale Street consensus of $(0.04). Given 2026Q1 alone delivered a profitable quarter (vs. a Street-implied loss), and management guided to 'continued positive Adjusted EBITDA' for the full year, a full-year EPS estimate near breakeven-to-modestly-positive is consistent with the trajectory disclosed to date -- though this remains the single largest area of estimate risk in the model (driven heavily by the Assumptions-tab tax rate, SG&amp;A leverage, and Other income assumptions for 2026Q2-Q4, none of which have been confirmed by subsequent company disclosures as of this model's last data pull).</t>
  </si>
  <si>
    <t xml:space="preserve">4. RECOMMENDATION: when updated Street estimates become available (post-2026Q1 print), replace the consensus figures in B16/B19 above with the refreshed numbers to keep this reconciliation current.</t>
  </si>
  <si>
    <t xml:space="preserve">Usio, Inc. (USIO) — Bull / IR Guide / Base / Bear Scenario Analysis</t>
  </si>
  <si>
    <t xml:space="preserve">Cross-referenced: Q1 2026 earnings call, investment thesis, TX ESA SB2 tranche schedule, Indiana universal expansion (July 2026). Arizona REMOVED — ClassWallet entrenched. Indiana + Ohio added as actionable near-term pipeline.</t>
  </si>
  <si>
    <t xml:space="preserve">Metric — Scenario Premise</t>
  </si>
  <si>
    <t xml:space="preserve">BULL CASE</t>
  </si>
  <si>
    <t xml:space="preserve">IR GUIDE CASE</t>
  </si>
  <si>
    <t xml:space="preserve">BASE CASE</t>
  </si>
  <si>
    <t xml:space="preserve">BEAR CASE</t>
  </si>
  <si>
    <t xml:space="preserve">Source / Rationale</t>
  </si>
  <si>
    <t xml:space="preserve">Probability (qualitative)</t>
  </si>
  <si>
    <t xml:space="preserve">30%</t>
  </si>
  <si>
    <t xml:space="preserve">15%</t>
  </si>
  <si>
    <t xml:space="preserve">40%</t>
  </si>
  <si>
    <t xml:space="preserve">Directional only. 40% base = calibrated to guidance. 30% bull = Q1 catalyst density. 15% IR Guide = August 15 call with prudent 50% guidance. 15% bear = execution/delay risks.</t>
  </si>
  <si>
    <t xml:space="preserve">Core thesis</t>
  </si>
  <si>
    <t xml:space="preserve">Full TX ESA + PayFac 20%+ + printer live + PostCredit</t>
  </si>
  <si>
    <t xml:space="preserve">50% of bull catalysts, guided Aug 15</t>
  </si>
  <si>
    <t xml:space="preserve">11% guidance midpoint, no voucher 2026</t>
  </si>
  <si>
    <t xml:space="preserve">Program delay + client loss + SGA creep</t>
  </si>
  <si>
    <t xml:space="preserve">1. TEXAS ESA — QUARTERLY TRANCHE MODEL (SB2, July 2026 launch confirmed on Q1 call)</t>
  </si>
  <si>
    <t xml:space="preserve">Year 1 $600M scaled; Year 2 $800M. Float yield 4% (100% GM). Take-rate 1.65% stepped (from 1.25% base: +40bps for MCC blocking, on-demand ledgering, audit presentment). CEO confirmed $250M July 1 drop on Q1 call.</t>
  </si>
  <si>
    <t xml:space="preserve">Quarter</t>
  </si>
  <si>
    <t xml:space="preserve">Avg Float Balance</t>
  </si>
  <si>
    <t xml:space="preserve">Float Revenue (4%)</t>
  </si>
  <si>
    <t xml:space="preserve">Processing Volume</t>
  </si>
  <si>
    <t xml:space="preserve">Fee Revenue (1.65%)</t>
  </si>
  <si>
    <t xml:space="preserve">Net GP (85% after variable costs)</t>
  </si>
  <si>
    <t xml:space="preserve">Q3 2026 — July 1 drop + Sept spike</t>
  </si>
  <si>
    <t xml:space="preserve">$220M</t>
  </si>
  <si>
    <t xml:space="preserve">$2,200K</t>
  </si>
  <si>
    <t xml:space="preserve">$90M</t>
  </si>
  <si>
    <t xml:space="preserve">$1,485K</t>
  </si>
  <si>
    <t xml:space="preserve">$3,463K</t>
  </si>
  <si>
    <t xml:space="preserve">Q4 2026 — Oct 1 tranche + Vol ramp</t>
  </si>
  <si>
    <t xml:space="preserve">$335M</t>
  </si>
  <si>
    <t xml:space="preserve">$3,350K</t>
  </si>
  <si>
    <t xml:space="preserve">$150M</t>
  </si>
  <si>
    <t xml:space="preserve">$2,475K</t>
  </si>
  <si>
    <t xml:space="preserve">$5,454K</t>
  </si>
  <si>
    <t xml:space="preserve">H2 2026 Total</t>
  </si>
  <si>
    <t xml:space="preserve">—</t>
  </si>
  <si>
    <t xml:space="preserve">$5,550K</t>
  </si>
  <si>
    <t xml:space="preserve">$240M</t>
  </si>
  <si>
    <t xml:space="preserve">$3,960K</t>
  </si>
  <si>
    <t xml:space="preserve">$8,917K</t>
  </si>
  <si>
    <t xml:space="preserve">Q1 2027</t>
  </si>
  <si>
    <t xml:space="preserve">$285M</t>
  </si>
  <si>
    <t xml:space="preserve">$2,850K</t>
  </si>
  <si>
    <t xml:space="preserve">$4,954K</t>
  </si>
  <si>
    <t xml:space="preserve">Q2 2027</t>
  </si>
  <si>
    <t xml:space="preserve">$105M</t>
  </si>
  <si>
    <t xml:space="preserve">$1,050K</t>
  </si>
  <si>
    <t xml:space="preserve">$210M</t>
  </si>
  <si>
    <t xml:space="preserve">$3,465K</t>
  </si>
  <si>
    <t xml:space="preserve">$3,995K</t>
  </si>
  <si>
    <t xml:space="preserve">Q3 2027</t>
  </si>
  <si>
    <t xml:space="preserve">$310M</t>
  </si>
  <si>
    <t xml:space="preserve">$3,100K</t>
  </si>
  <si>
    <t xml:space="preserve">$120M</t>
  </si>
  <si>
    <t xml:space="preserve">$1,980K</t>
  </si>
  <si>
    <t xml:space="preserve">$4,783K</t>
  </si>
  <si>
    <t xml:space="preserve">Q4 2027</t>
  </si>
  <si>
    <t xml:space="preserve">$450M</t>
  </si>
  <si>
    <t xml:space="preserve">$4,500K</t>
  </si>
  <si>
    <t xml:space="preserve">$200M</t>
  </si>
  <si>
    <t xml:space="preserve">$3,300K</t>
  </si>
  <si>
    <t xml:space="preserve">$7,305K</t>
  </si>
  <si>
    <t xml:space="preserve">FY 2027 Total</t>
  </si>
  <si>
    <t xml:space="preserve">$11,500K</t>
  </si>
  <si>
    <t xml:space="preserve">$680M</t>
  </si>
  <si>
    <t xml:space="preserve">$11,220K</t>
  </si>
  <si>
    <t xml:space="preserve">$21,037K</t>
  </si>
  <si>
    <t xml:space="preserve">2. STATE ESA EXPANSION PIPELINE — INDIANA &amp; OHIO (Near-term; Arizona removed — ClassWallet entrenched)</t>
  </si>
  <si>
    <t xml:space="preserve">Why NOT Arizona</t>
  </si>
  <si>
    <t xml:space="preserve">Arizona is $1B/yr via ClassWallet (incumbent, multi-year contract). 100,924 students enrolled June 2026. High switching costs. Realistic only as 2028+ RFP re-bid. REMOVED as too aggressive/speculative for near-term model.</t>
  </si>
  <si>
    <t xml:space="preserve">INDIANA — Universal Expansion July 2026 (Priority Near-Term Opportunity)</t>
  </si>
  <si>
    <t xml:space="preserve">2024-25 program size</t>
  </si>
  <si>
    <t xml:space="preserve">$497M / 76,067 students</t>
  </si>
  <si>
    <t xml:space="preserve">$497M actual</t>
  </si>
  <si>
    <t xml:space="preserve">Source: Indiana Dept of Education annual report (Indiana Capital Chronicle, July 2025). $497.2M disbursed in 2024-25. 76,067 students, avg award $6,536. 373 participating private schools. Growth was +8.5% (slowing) but about to surge with universal expansion.</t>
  </si>
  <si>
    <t xml:space="preserve">July 2026: ALL income limits removed</t>
  </si>
  <si>
    <t xml:space="preserve">Universal → 90-100K+ students / $600-650M</t>
  </si>
  <si>
    <t xml:space="preserve">Expanding</t>
  </si>
  <si>
    <t xml:space="preserve">Risk: slower ramp</t>
  </si>
  <si>
    <t xml:space="preserve">Source: Chalkbeat Indiana (April 2025), ISI Indiana (confirmed for 2026-27). Indiana lawmakers removed ALL income requirements starting July 2026 — fully universal like Arizona. "About a quarter of the private school population not yet on choice scholarships" per Notre Dame researcher. Additional budget allocated in FY2026 state budget specifically for this expansion.</t>
  </si>
  <si>
    <t xml:space="preserve">Payment model</t>
  </si>
  <si>
    <t xml:space="preserve">ACH-heavy (school-to-state, state-to-family)</t>
  </si>
  <si>
    <t xml:space="preserve">ACH</t>
  </si>
  <si>
    <t xml:space="preserve">ACH only</t>
  </si>
  <si>
    <t xml:space="preserve">Indiana pays schools via direct ACH — NOT prepaid card like Texas. Usio's primary lever is ACH modernization for the expanded universal program, not Filtered Spend card. The universal expansion creates a procurement need for scalable payment infrastructure. RFP expected H2 2026.</t>
  </si>
  <si>
    <t xml:space="preserve">Usio opportunity (15% share, H2 2027+)</t>
  </si>
  <si>
    <t xml:space="preserve">$97.5M vol → $1,700K/yr revenue</t>
  </si>
  <si>
    <t xml:space="preserve">$0 (not awarded)</t>
  </si>
  <si>
    <t xml:space="preserve">$0 (not modeled)</t>
  </si>
  <si>
    <t xml:space="preserve">$0</t>
  </si>
  <si>
    <t xml:space="preserve">If Usio wins 15% of $650M Indiana disbursements = $97.5M volume → ACH fees at 1.25% = $1,219K + float on ~$13.4M avg balance at 4% = $481K = ~$1,700K/yr. Timing: universal July 2026 → RFP H2 2026 → contract award Q1 2027 → first revenue H2 2027. NOT in 2026 model. Bull 2027 upside option only.</t>
  </si>
  <si>
    <t xml:space="preserve">OHIO EdCHOICE — Contract Modernization Opportunity</t>
  </si>
  <si>
    <t xml:space="preserve">Program size</t>
  </si>
  <si>
    <t xml:space="preserve">~$390-500M / 60,000+ students</t>
  </si>
  <si>
    <t xml:space="preserve">~$390M est</t>
  </si>
  <si>
    <t xml:space="preserve">Ohio EdChoice Expansion: 60,000 scholarship cap, max awards $6,166 K-8 / $8,408 9-12. Ohio has more voucher programs than any other state. Multiple programs (EdChoice + Autism + Jon Peterson + Cleveland) combined likely $450-500M annually. "Most popular voucher program" per EdChoice.org.</t>
  </si>
  <si>
    <t xml:space="preserve">Usio opportunity (10% share, 2027-28+)</t>
  </si>
  <si>
    <t xml:space="preserve">$39M vol → $616K/yr revenue</t>
  </si>
  <si>
    <t xml:space="preserve">If Usio wins 10% of Ohio flow = $39M → ACH fees $488K + float $128K = ~$616K/yr. Smaller than Indiana. More realistic as a 2027-2028 win given existing state contractor relationships and no imminent universal expansion trigger (Ohio already has income limits).</t>
  </si>
  <si>
    <t xml:space="preserve">Combined IN+OH (H2 2027+): ~$2,316K/yr → ~$0.04 EPS add-on to bull 2027 case</t>
  </si>
  <si>
    <t xml:space="preserve">Indiana is the priority: universal expansion July 2026 = immediate procurement need. Texas win = Usio's credential. State expansion pipeline: Florida Step Up ($1.1B), Georgia GOAL, Tennessee, North Carolina — all watching TX/IN. These are 2028+ stories, NOT modeled.</t>
  </si>
  <si>
    <t xml:space="preserve">3. OUTPUT SOLUTIONS / IDP — MARGIN STEP-UP MODEL (New printer June 2026, 4x throughput)</t>
  </si>
  <si>
    <t xml:space="preserve">Q1 2026A (actual, 10-Q)</t>
  </si>
  <si>
    <t xml:space="preserve">$6,822K / 20.2% GM (actual)</t>
  </si>
  <si>
    <t xml:space="preserve">actual</t>
  </si>
  <si>
    <t xml:space="preserve">Revenue +19% YoY. Electronic docs +41% YoY. Physical mailings +31% YoY. Confirmed actual from Q1 2026 10-Q.</t>
  </si>
  <si>
    <t xml:space="preserve">Q2 2026E — transition quarter</t>
  </si>
  <si>
    <t xml:space="preserve">$6,400K / 21.0% GM</t>
  </si>
  <si>
    <t xml:space="preserve">$6,200K / 20%</t>
  </si>
  <si>
    <t xml:space="preserve">$5,880K / 22%</t>
  </si>
  <si>
    <t xml:space="preserve">$5,500K / 18%</t>
  </si>
  <si>
    <t xml:space="preserve">Temp compression: new printer integration + elevated paper supply. THESIS guidance: keep 20-22% GM in Q2. Bear: printer delayed into Q3, margin stays compressed.</t>
  </si>
  <si>
    <t xml:space="preserve">Q3 2026E — printer fully online July</t>
  </si>
  <si>
    <t xml:space="preserve">$7,100K / 24.5% GM</t>
  </si>
  <si>
    <t xml:space="preserve">$6,800K / 23%</t>
  </si>
  <si>
    <t xml:space="preserve">$6,300K / 22.5%</t>
  </si>
  <si>
    <t xml:space="preserve">$6,000K / 20%</t>
  </si>
  <si>
    <t xml:space="preserve">New printer (4x faster) operational July. Electronic docs &gt;35% YoY. 6 new cities + 2 county govts + 4 enterprise accounts contributing. Zero headcount addition.</t>
  </si>
  <si>
    <t xml:space="preserve">Q4 2026E — seasonal municipal peak</t>
  </si>
  <si>
    <t xml:space="preserve">$7,600K / 26.0% GM</t>
  </si>
  <si>
    <t xml:space="preserve">$7,200K / 24%</t>
  </si>
  <si>
    <t xml:space="preserve">$6,400K / 23%</t>
  </si>
  <si>
    <t xml:space="preserve">$6,100K / 20%</t>
  </si>
  <si>
    <t xml:space="preserve">Annual property tax notices, utility billing cycles, year-end municipal statements. Electronic docs approaching 50% of mix.</t>
  </si>
  <si>
    <t xml:space="preserve">FY 2026E</t>
  </si>
  <si>
    <t xml:space="preserve">$26,922K / 23.5% = $6,321K GP</t>
  </si>
  <si>
    <t xml:space="preserve">$26,022K / 22.5%</t>
  </si>
  <si>
    <t xml:space="preserve">$25,402K / 22%</t>
  </si>
  <si>
    <t xml:space="preserve">$23,400K / 19.5%</t>
  </si>
  <si>
    <t xml:space="preserve">Thesis target: $26.9M / 23.5% blended GM = $6,321.5K GP. Base model: $25.4M / 22%.</t>
  </si>
  <si>
    <t xml:space="preserve">FY 2027E</t>
  </si>
  <si>
    <t xml:space="preserve">$32,200K / 28.0% = $9,016K GP</t>
  </si>
  <si>
    <t xml:space="preserve">$30,000K / 26%</t>
  </si>
  <si>
    <t xml:space="preserve">$27,800K / 23%</t>
  </si>
  <si>
    <t xml:space="preserve">$24,000K / 20%</t>
  </si>
  <si>
    <t xml:space="preserve">Thesis target. 150+ municipal relationships at only 15-25% wallet penetration = massive zero-CAC expansion. TIMING issue (ERP integration, legal mandates, consumer opt-in), NOT a sales issue. 150-300bps annual GM step-up is predictable.</t>
  </si>
  <si>
    <t xml:space="preserve">4. POSTCREDIT — STRUCTURAL LOCK-IN ENGINE (Acquired Nov 2025; all new clients auto-provisioned)</t>
  </si>
  <si>
    <t xml:space="preserve">Status</t>
  </si>
  <si>
    <t xml:space="preserve">Market-ready H2 2026; all new clients auto-provisioned</t>
  </si>
  <si>
    <t xml:space="preserve">Same structure</t>
  </si>
  <si>
    <t xml:space="preserve">Not in model</t>
  </si>
  <si>
    <t xml:space="preserve">Delayed to 2027</t>
  </si>
  <si>
    <t xml:space="preserve">Q1 2026 call: "rapidly progressing, market-ready launch upcoming." Every new Card/ACH/Prepaid client auto-provisioned PostCredit account at onboarding. G2 confirms customers choose Usio to "eliminate the chaos of managing multiple vendors" — PostCredit deepens this moat.</t>
  </si>
  <si>
    <t xml:space="preserve">Revenue (Year 1 bull)</t>
  </si>
  <si>
    <t xml:space="preserve">$1,500-2,500K SaaS + float</t>
  </si>
  <si>
    <t xml:space="preserve">$500-1,000K</t>
  </si>
  <si>
    <t xml:space="preserve">Three streams: SaaS subscription per account + float on operational balances (100% GM) + cross-sell velocity. Only in bull model. NOT in base/bear.</t>
  </si>
  <si>
    <t xml:space="preserve">Strategic impact</t>
  </si>
  <si>
    <t xml:space="preserve">Switching cost flywheel + LTV multiplier</t>
  </si>
  <si>
    <t xml:space="preserve">Not quantified</t>
  </si>
  <si>
    <t xml:space="preserve">Integration friction risk</t>
  </si>
  <si>
    <t xml:space="preserve">Every PostCredit client = permanently cross-sold into full Usio suite. LTV increases, churn decreases. Thesis: "transforms Usio from generic payment processor into sticky enterprise software provider."</t>
  </si>
  <si>
    <t xml:space="preserve">5. INTEGRATED P&amp;L SUMMARY ($000)</t>
  </si>
  <si>
    <t xml:space="preserve">Metric — FY2026E</t>
  </si>
  <si>
    <t xml:space="preserve">Core business revenue</t>
  </si>
  <si>
    <t xml:space="preserve">All scenarios share the base segment model calibrated to 11% guidance midpoint (base/bull/guide) or bear client-loss scenario.</t>
  </si>
  <si>
    <t xml:space="preserve">Texas ESA H2 2026 (Q3+Q4)</t>
  </si>
  <si>
    <t xml:space="preserve">BULL: $3,685K Q3 + $5,825K Q4 = $9,510K per thesis tranche model. IR GUIDE: 50% prudent. BASE/BEAR: zero.</t>
  </si>
  <si>
    <t xml:space="preserve">Output Solutions step-up vs base</t>
  </si>
  <si>
    <t xml:space="preserve">BULL: printer live; Q3 $7.1M + Q4 $7.6M vs base $6.3M/$6.4M = +$1,520K. IR GUIDE: 50%.</t>
  </si>
  <si>
    <t xml:space="preserve">PostCredit + other incremental</t>
  </si>
  <si>
    <t xml:space="preserve">BULL only: early PostCredit onboarding fees + float. Conservative. Not in other scenarios.</t>
  </si>
  <si>
    <t xml:space="preserve">TOTAL REVENUE FY2026E</t>
  </si>
  <si>
    <t xml:space="preserve">   Revenue growth YoY</t>
  </si>
  <si>
    <t xml:space="preserve">BULL +26.3%. IR Guide +17.5%. BASE exactly +11.0% (guidance midpoint). BEAR +6.3% (below 10% guidance floor).</t>
  </si>
  <si>
    <t xml:space="preserve">Gross Profit → Operating Leverage → Net Income</t>
  </si>
  <si>
    <t xml:space="preserve">Total Gross Profit</t>
  </si>
  <si>
    <t xml:space="preserve">BULL: core GP $21,160K + TX ESA GP $8,917K + Output delta $850K + PostCredit GP $1,800K. Base: core model. Bear: lower revenue + worse margin mix.</t>
  </si>
  <si>
    <t xml:space="preserve">Total SG&amp;A (flat overhead target)</t>
  </si>
  <si>
    <t xml:space="preserve">Management: "not expected to materially increase this year" — $4.4M/qtr = $17.6M/yr. BEAR: +$1,500K simultaneous implementation hiring. THE key operating leverage metric.</t>
  </si>
  <si>
    <t xml:space="preserve">OPERATING INCOME (EBIT)</t>
  </si>
  <si>
    <t xml:space="preserve">NET INCOME (after 30% tax)</t>
  </si>
  <si>
    <t xml:space="preserve">DILUTED EPS FY2026E (27.5M shares)</t>
  </si>
  <si>
    <t xml:space="preserve">   Thesis anchors: Bull $0.14 / IR $0.07 / Base $0.085 / Bear -$0.03</t>
  </si>
  <si>
    <t xml:space="preserve">Thesis $0.14 bull = catalyst-layer-only calc. Our integrated model produces higher EPS because it includes full revenue base. Use thesis $0.14 as institutional communication anchor.</t>
  </si>
  <si>
    <t xml:space="preserve">Adj. EBITDA FY2026E</t>
  </si>
  <si>
    <t xml:space="preserve">EBIT + D&amp;A ~$900K + SBC ~$1,300K. All scenarios except BEAR positive — consistent with management guidance for "continued positive Adj. EBITDA."</t>
  </si>
  <si>
    <t xml:space="preserve">Metric — FY2027E</t>
  </si>
  <si>
    <t xml:space="preserve">Core organic revenue</t>
  </si>
  <si>
    <t xml:space="preserve">2027 base from model (~8%/qtr growth). Bear uses lower 2026 starting point.</t>
  </si>
  <si>
    <t xml:space="preserve">Texas ESA full-year (Section 1)</t>
  </si>
  <si>
    <t xml:space="preserve">BULL: $22,720K per thesis. IR GUIDE: 50%. BASE: not modeled (timing risk). BEAR: 30% drag scenario per thesis stress test ($7,904K).</t>
  </si>
  <si>
    <t xml:space="preserve">Indiana + Ohio (H2 2027 if both won)</t>
  </si>
  <si>
    <t xml:space="preserve">BULL only: Indiana 15% + Ohio 10% = $2,316K/yr first revenue in H2 2027. Contingent on RFP wins H1 2027. ~$0.04 EPS add-on. NOT in IR Guide/Base/Bear.</t>
  </si>
  <si>
    <t xml:space="preserve">Output Solutions (thesis scale)</t>
  </si>
  <si>
    <t xml:space="preserve">BULL: $32.2M / 28% GM (thesis). BASE: $27.8M / 23%. BEAR: $24M / 20%. 15-25% wallet penetration in 150+ existing relationships = runway without new logos.</t>
  </si>
  <si>
    <t xml:space="preserve">TOTAL REVENUE FY2027E</t>
  </si>
  <si>
    <t xml:space="preserve">NET INCOME FY2027E</t>
  </si>
  <si>
    <t xml:space="preserve">DILUTED EPS FY2027E</t>
  </si>
  <si>
    <t xml:space="preserve">   Thesis anchors: Bull $0.42 / IR $0.21 / Bear $0.05 (Street $0.08)</t>
  </si>
  <si>
    <t xml:space="preserve">Thesis: Bull $0.42 at 15x = $6.30 price target. IR Guide $0.21 = 162% above Street $0.08. Bear $0.05 = proves Street already prices in worst case. Risk/reward 3.8:1 ($6.30 bull / $0.75 bear floor).</t>
  </si>
  <si>
    <t xml:space="preserve">6. VALUATION — MULTIPLES &amp; PRICE TARGETS</t>
  </si>
  <si>
    <t xml:space="preserve">Metric — Valuation</t>
  </si>
  <si>
    <t xml:space="preserve">Share price (thesis date)</t>
  </si>
  <si>
    <t xml:space="preserve">$1.71</t>
  </si>
  <si>
    <t xml:space="preserve">Thesis date June 11, 2026. 52-wk range $1.03-$2.02. Market cap $47.19M per thesis.</t>
  </si>
  <si>
    <t xml:space="preserve">Enterprise Value ($000)</t>
  </si>
  <si>
    <t xml:space="preserve">$40,650K</t>
  </si>
  <si>
    <t xml:space="preserve">EV = Market cap ($47,025K) - net cash ($6,375K = $7.7M cash - $1.325M equipment loan).</t>
  </si>
  <si>
    <t xml:space="preserve">FY2027 forward P/E at $1.71</t>
  </si>
  <si>
    <t xml:space="preserve">2.1x</t>
  </si>
  <si>
    <t xml:space="preserve">3.6x</t>
  </si>
  <si>
    <t xml:space="preserve">6.6x</t>
  </si>
  <si>
    <t xml:space="preserve">11.4x</t>
  </si>
  <si>
    <t xml:space="preserve">Thesis $0.42 = 4.1x. Our model $0.82 = 2.1x. Peer PRTH: 9.8x. MQ: 24x. Street $0.08 = 21.3x. Massive discount on ANY scenario that incorporates ESA catalysts.</t>
  </si>
  <si>
    <t xml:space="preserve">Price target (15x FY2027 EPS)</t>
  </si>
  <si>
    <t xml:space="preserve">$6.30 (thesis anchor)</t>
  </si>
  <si>
    <t xml:space="preserve">$7.09 (model)</t>
  </si>
  <si>
    <t xml:space="preserve">$3.87 (model)</t>
  </si>
  <si>
    <t xml:space="preserve">$2.18 (model)</t>
  </si>
  <si>
    <t xml:space="preserve">Thesis applies 15x conservative fintech multiple to $0.42 EPS = $6.30, consistent with Ladenburg $6.25 and HC Wainwright $4.00 analyst targets. Use $6.30 as institutional communication anchor (thesis-calibrated).</t>
  </si>
  <si>
    <t xml:space="preserve">Risk/reward ($6.30 bull / $0.75 bear)</t>
  </si>
  <si>
    <t xml:space="preserve">3.7:1 (model) / 3.8:1 (thesis)</t>
  </si>
  <si>
    <t xml:space="preserve">4.1:1</t>
  </si>
  <si>
    <t xml:space="preserve">2.3:1</t>
  </si>
  <si>
    <t xml:space="preserve">Bear floor: 15x x $0.05 EPS = $0.75. The asymmetry is real because the downside is bounded by the existing core business generating ~$2M/yr baseline NI with $6.4M net cash cushion.</t>
  </si>
  <si>
    <t xml:space="preserve">EV/Adj. EBITDA FY2027E</t>
  </si>
  <si>
    <t xml:space="preserve">0.6x (model)</t>
  </si>
  <si>
    <t xml:space="preserve">1.2x</t>
  </si>
  <si>
    <t xml:space="preserve">2.4x</t>
  </si>
  <si>
    <t xml:space="preserve">2.7x</t>
  </si>
  <si>
    <t xml:space="preserve">Thesis CCA grid: PRTH 7.4x, MQ 14.2x. Usio at even 4x EBITDA (base case) is massively discounted. Catalyst execution changes this to 0.6x on our bull model — structurally undervalued.</t>
  </si>
  <si>
    <t xml:space="preserve">7. AUGUST 15, 2026 EARNINGS CALL — 8 KEY FLAGS TO WATCH</t>
  </si>
  <si>
    <t xml:space="preserve">Flag / KPI</t>
  </si>
  <si>
    <t xml:space="preserve">Bull Signal</t>
  </si>
  <si>
    <t xml:space="preserve">Bear Warning</t>
  </si>
  <si>
    <t xml:space="preserve">Bull Target</t>
  </si>
  <si>
    <t xml:space="preserve">Bear Red Flag</t>
  </si>
  <si>
    <t xml:space="preserve">Analysis</t>
  </si>
  <si>
    <t xml:space="preserve">TX ESA July 1 cash (MOST CRITICAL)</t>
  </si>
  <si>
    <t xml:space="preserve">CRITICAL BULL TRIGGER</t>
  </si>
  <si>
    <t xml:space="preserve">CRITICAL BEAR WARNING</t>
  </si>
  <si>
    <t xml:space="preserve">$200-250M+ confirmed in ecosystem</t>
  </si>
  <si>
    <t xml:space="preserve">Delay language / legislative hold / Q3 push</t>
  </si>
  <si>
    <t xml:space="preserve">By Aug 15, mgmt has 45 days of live Q3 data. $250M confirmation triggers algorithmic quant scanners — thesis models stock gap to $2.85-$3.15 Day 1-3 on 10x+ volume surge. Any delay language = bear case.</t>
  </si>
  <si>
    <t xml:space="preserve">Full-year guidance revision</t>
  </si>
  <si>
    <t xml:space="preserve">MAJOR CATALYST</t>
  </si>
  <si>
    <t xml:space="preserve">MAJOR DISAPPOINTMENT</t>
  </si>
  <si>
    <t xml:space="preserve">EPS guidance initiated OR revenue guidance raised above 12%</t>
  </si>
  <si>
    <t xml:space="preserve">Guidance maintained flat or reduced</t>
  </si>
  <si>
    <t xml:space="preserve">Currently no EPS guidance given (only 10-12% revenue). If Tom Gomez initiates any positive EPS number: 566% beat above -$0.03 consensus per thesis variance model. Even $0.07 FY2026 = massive paradigm shift.</t>
  </si>
  <si>
    <t xml:space="preserve">ACH &amp; RTP velocity</t>
  </si>
  <si>
    <t xml:space="preserve">BULL CONFIRMER</t>
  </si>
  <si>
    <t xml:space="preserve">BEAR SIGNAL</t>
  </si>
  <si>
    <t xml:space="preserve">ACH Q2 revenue &gt;$6.0M (+15%+ YoY from $5.19M Q2 2025)</t>
  </si>
  <si>
    <t xml:space="preserve">ACH deceleration; RTP "leveling off"</t>
  </si>
  <si>
    <t xml:space="preserve">April = best single ACH month ever. RTP at 200K txns/month exiting Q1. If Q2 ACH re-accelerates despite seasonal softness, the RTP 100x trajectory is monetizing into revenue.</t>
  </si>
  <si>
    <t xml:space="preserve">Card/PayFac trajectory</t>
  </si>
  <si>
    <t xml:space="preserve">BULL</t>
  </si>
  <si>
    <t xml:space="preserve">BEAR</t>
  </si>
  <si>
    <t xml:space="preserve">Q2 card &gt;$8.0M (PayFac sustaining 20%+ growth)</t>
  </si>
  <si>
    <t xml:space="preserve">Q2 card &lt;$7.5M (Q1 was seasonal peak)</t>
  </si>
  <si>
    <t xml:space="preserve">PayFac at 78% of card and &gt;20% growth. New building supply + sporting goods retailers full quarter. Q2 2025 was $7.0M — if Q2 2026 shows $8.0M+ it confirms the PayFac engine has permanently overcome legacy attrition.</t>
  </si>
  <si>
    <t xml:space="preserve">SG&amp;A overhead — THE KEY LEVER</t>
  </si>
  <si>
    <t xml:space="preserve">BEAR RISK</t>
  </si>
  <si>
    <t xml:space="preserve">SG&amp;A $4.3-4.5M (flat to down from Q1's $4.4M)</t>
  </si>
  <si>
    <t xml:space="preserve">SG&amp;A &gt;$4.7M (headcount additions for programs)</t>
  </si>
  <si>
    <t xml:space="preserve">The thesis ENTIRE operating leverage story depends on this number. "91.2% of every incremental GP dollar flows past the operating line" ONLY if SG&amp;A stays flat. Every $100K above $4.5M = ~$70K after-tax EPS erosion.</t>
  </si>
  <si>
    <t xml:space="preserve">Output Solutions printer confirmation</t>
  </si>
  <si>
    <t xml:space="preserve">Printer confirmed online late June/July; electronic docs &gt;35% YoY</t>
  </si>
  <si>
    <t xml:space="preserve">Printer delayed to Q3; Q2 GM &lt;21%</t>
  </si>
  <si>
    <t xml:space="preserve">CEO confirmed printer arriving June. Watch for explicit confirmation it is live. Electronic presentment growth rate must hold &gt;35% to validate the margin step-up thesis for H2 2026.</t>
  </si>
  <si>
    <t xml:space="preserve">Indiana/Ohio pipeline mention</t>
  </si>
  <si>
    <t xml:space="preserve">UPSIDE OPTION</t>
  </si>
  <si>
    <t xml:space="preserve">NEUTRAL</t>
  </si>
  <si>
    <t xml:space="preserve">Any mention of second-state ESA RFP or government payment modernization pipeline</t>
  </si>
  <si>
    <t xml:space="preserve">Silence (neutral)</t>
  </si>
  <si>
    <t xml:space="preserve">Indiana went universal July 2026. If mgmt mentions any state government payment RFP on Aug 15 call, it validates multi-state expansion. Indiana alone = $1,700K/yr incremental revenue if won. Worth $0.03-0.04 to 2027 EPS.</t>
  </si>
  <si>
    <t xml:space="preserve">PostCredit onboarding velocity</t>
  </si>
  <si>
    <t xml:space="preserve">BULL OPTION</t>
  </si>
  <si>
    <t xml:space="preserve">&gt;50% of new clients accepting auto-provisioned PostCredit account</t>
  </si>
  <si>
    <t xml:space="preserve">Integration friction or merchant resistance language</t>
  </si>
  <si>
    <t xml:space="preserve">First quantitative PostCredit metrics expected. 50%+ auto-provision rate = cross-sell flywheel confirmed. Every PostCredit client = elevated LTV + lower churn permanently. No metrics = still speculative but manageable.</t>
  </si>
  <si>
    <t xml:space="preserve">8. THE INFORMATION ASYMMETRY — WHY THE STREET IS MISSING THIS STORY</t>
  </si>
  <si>
    <t xml:space="preserve">Street consensus FY2026 EPS</t>
  </si>
  <si>
    <t xml:space="preserve">-$0.03 to -$0.04</t>
  </si>
  <si>
    <t xml:space="preserve">-$0.03</t>
  </si>
  <si>
    <t xml:space="preserve">NM</t>
  </si>
  <si>
    <t xml:space="preserve">Set BEFORE Q1 2026 print. Q1 actual: +$0.00 EPS (profitable). Street has not updated for TX ESA program (July 1 live), 1.65% stepped take-rate, or flat overhead cap. "Treating Usio like a standard legacy transaction processor" per thesis.</t>
  </si>
  <si>
    <t xml:space="preserve">Street consensus FY2027 EPS</t>
  </si>
  <si>
    <t xml:space="preserve">$0.08 vs $0.42 thesis</t>
  </si>
  <si>
    <t xml:space="preserve">$0.08 vs $0.21</t>
  </si>
  <si>
    <t xml:space="preserve">$0.08 vs $0.26</t>
  </si>
  <si>
    <t xml:space="preserve">$0.08 vs $0.15</t>
  </si>
  <si>
    <t xml:space="preserve">Three miss-sources per thesis: (1) No ESA float interest modeled; (2) Generic 1.25% take-rate vs stepped 1.65%; (3) Variable cost growth modeled vs the fixed $4.4M/qtr overhead cap. "91.2% of every incremental GP dollar flows past the operating line" — the flat overhead multiplier is the key analytical miss.</t>
  </si>
  <si>
    <t xml:space="preserve">Management camouflage strategy</t>
  </si>
  <si>
    <t xml:space="preserve">Conservative guidance + catalysts in commentary</t>
  </si>
  <si>
    <t xml:space="preserve">Same</t>
  </si>
  <si>
    <t xml:space="preserve">Guidance anchor</t>
  </si>
  <si>
    <t xml:space="preserve">Worst case</t>
  </si>
  <si>
    <t xml:space="preserve">Thesis: "Paul Manley and the executive team provided the critical building blocks needed to forecast growth. However, by packaging these metrics alongside a flat full-year guidance forecast, they avoided premature market hype — creating a classic information asymmetry." What mgmt said: RTP 100x, $1B voucher, April best ACH month, PayFac 78%. What Street heard: "guidance unchanged 10-12%."</t>
  </si>
  <si>
    <t xml:space="preserve">August 15 inflection</t>
  </si>
  <si>
    <t xml:space="preserve">$250M float + positive EPS guidance → stock gaps $1.71→$2.85+</t>
  </si>
  <si>
    <t xml:space="preserve">$0.07 EPS guided → 10x+ volume Day 1</t>
  </si>
  <si>
    <t xml:space="preserve">No change</t>
  </si>
  <si>
    <t xml:space="preserve">Delay → reversal</t>
  </si>
  <si>
    <t xml:space="preserve">Thesis micro-cap liquidity model: Day 1-3: algorithmic quant scanners trigger on guidance revision from -$0.03→+$0.07. 10x+ volume (120K→1.5M+ shares/day). Stock gaps past $3.00. Day 4-15: sell-side forced model revisions, "Upgrading to Buy." Day 16-30: long-only small-cap funds pass liquidity filter at 350K+ ADV, institutional floor $3.50-$4.20 established.</t>
  </si>
  <si>
    <t xml:space="preserve">Usio, Inc. — CFA-Style Ratio Analysis (Quarterly)</t>
  </si>
  <si>
    <t xml:space="preserve">Profitability, liquidity, leverage, efficiency, and cash flow metrics</t>
  </si>
  <si>
    <t xml:space="preserve">Profitability (quarterly)</t>
  </si>
  <si>
    <t xml:space="preserve">Gross margin %</t>
  </si>
  <si>
    <t xml:space="preserve">Operating margin %</t>
  </si>
  <si>
    <t xml:space="preserve">Net margin %</t>
  </si>
  <si>
    <t xml:space="preserve">Adj. EBITDA margin %</t>
  </si>
  <si>
    <t xml:space="preserve">Return on Assets (ROA, annualized)</t>
  </si>
  <si>
    <t xml:space="preserve">Return on Equity (ROE, annualized)</t>
  </si>
  <si>
    <t xml:space="preserve">Liquidity</t>
  </si>
  <si>
    <t xml:space="preserve">Current ratio</t>
  </si>
  <si>
    <t xml:space="preserve">Quick ratio (cash + AR / current liab.)</t>
  </si>
  <si>
    <t xml:space="preserve">Cash ratio</t>
  </si>
  <si>
    <t xml:space="preserve">Working capital ($000)</t>
  </si>
  <si>
    <t xml:space="preserve">Leverage / Solvency</t>
  </si>
  <si>
    <t xml:space="preserve">Total liabilities / Total assets</t>
  </si>
  <si>
    <t xml:space="preserve">Equipment loans / Total equity</t>
  </si>
  <si>
    <t xml:space="preserve">Efficiency</t>
  </si>
  <si>
    <t xml:space="preserve">Days Sales Outstanding (AR)</t>
  </si>
  <si>
    <t xml:space="preserve">Days Payable Outstanding (AP)</t>
  </si>
  <si>
    <t xml:space="preserve">Cash Flow</t>
  </si>
  <si>
    <t xml:space="preserve">CFO ($000)</t>
  </si>
  <si>
    <t xml:space="preserve">Free cash flow ($000, CFO + Capex)</t>
  </si>
  <si>
    <t xml:space="preserve">FCF margin %</t>
  </si>
  <si>
    <t xml:space="preserve">Per-Share</t>
  </si>
  <si>
    <t xml:space="preserve">Note: market price, P/E, EV/EBITDA omitted -- would require live market data. As of the 3/31/2026 Seeking Alpha pull, shares traded around $1.14.</t>
  </si>
</sst>
</file>

<file path=xl/styles.xml><?xml version="1.0" encoding="utf-8"?>
<styleSheet xmlns="http://schemas.openxmlformats.org/spreadsheetml/2006/main">
  <numFmts count="17">
    <numFmt numFmtId="164" formatCode="General"/>
    <numFmt numFmtId="165" formatCode="0.0%;\(0.0%\);\-"/>
    <numFmt numFmtId="166" formatCode="0.0000%;\(0.0000%\);\-"/>
    <numFmt numFmtId="167" formatCode="\$#,##0;&quot;($&quot;#,##0\);\-"/>
    <numFmt numFmtId="168" formatCode="#,##0"/>
    <numFmt numFmtId="169" formatCode="0"/>
    <numFmt numFmtId="170" formatCode="0.00\x"/>
    <numFmt numFmtId="171" formatCode="\$0.00\B"/>
    <numFmt numFmtId="172" formatCode="#,##0.0\M"/>
    <numFmt numFmtId="173" formatCode="\$#,##0\M"/>
    <numFmt numFmtId="174" formatCode="\$#,##0.0;&quot;($&quot;#,##0.0\);\-"/>
    <numFmt numFmtId="175" formatCode="\$#,##0.00;&quot;($&quot;#,##0.00\);\-"/>
    <numFmt numFmtId="176" formatCode="\$#,##0;&quot;($&quot;#,##0\);\-"/>
    <numFmt numFmtId="177" formatCode="0.0%;\(0.0%\);\-"/>
    <numFmt numFmtId="178" formatCode="\$#,##0.00;&quot;($&quot;#,##0.00\);\-"/>
    <numFmt numFmtId="179" formatCode="0.00\x;\(0.00&quot;x)&quot;;\-"/>
    <numFmt numFmtId="180" formatCode="0.0&quot; days&quot;"/>
  </numFmts>
  <fonts count="3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color rgb="FF1F4E78"/>
      <name val="Arial"/>
      <family val="0"/>
      <charset val="1"/>
    </font>
    <font>
      <b val="true"/>
      <sz val="10"/>
      <color rgb="FF000000"/>
      <name val="Arial"/>
      <family val="0"/>
      <charset val="1"/>
    </font>
    <font>
      <sz val="10"/>
      <color rgb="FF000000"/>
      <name val="Arial"/>
      <family val="0"/>
      <charset val="1"/>
    </font>
    <font>
      <i val="true"/>
      <sz val="9"/>
      <color rgb="FF595959"/>
      <name val="Arial"/>
      <family val="0"/>
      <charset val="1"/>
    </font>
    <font>
      <b val="true"/>
      <sz val="10"/>
      <color rgb="FFFFFFFF"/>
      <name val="Arial"/>
      <family val="0"/>
      <charset val="1"/>
    </font>
    <font>
      <b val="true"/>
      <sz val="11"/>
      <color rgb="FFFFFFFF"/>
      <name val="Arial"/>
      <family val="0"/>
      <charset val="1"/>
    </font>
    <font>
      <sz val="10"/>
      <color rgb="FF0000FF"/>
      <name val="Arial"/>
      <family val="0"/>
      <charset val="1"/>
    </font>
    <font>
      <b val="true"/>
      <sz val="11"/>
      <name val="Arial"/>
      <family val="0"/>
      <charset val="1"/>
    </font>
    <font>
      <sz val="10"/>
      <color rgb="FF008000"/>
      <name val="Arial"/>
      <family val="0"/>
      <charset val="1"/>
    </font>
    <font>
      <b val="true"/>
      <sz val="12"/>
      <color rgb="FFFFFFFF"/>
      <name val="Arial"/>
      <family val="0"/>
      <charset val="1"/>
    </font>
    <font>
      <b val="true"/>
      <sz val="14"/>
      <color rgb="FF000000"/>
      <name val="Arial"/>
      <family val="0"/>
      <charset val="1"/>
    </font>
    <font>
      <sz val="10"/>
      <color rgb="FF595959"/>
      <name val="Arial"/>
      <family val="0"/>
      <charset val="1"/>
    </font>
    <font>
      <sz val="9"/>
      <color rgb="FF595959"/>
      <name val="Arial"/>
      <family val="0"/>
      <charset val="1"/>
    </font>
    <font>
      <b val="true"/>
      <sz val="9"/>
      <color rgb="FF843C0C"/>
      <name val="Arial"/>
      <family val="0"/>
      <charset val="1"/>
    </font>
    <font>
      <i val="true"/>
      <sz val="9"/>
      <color rgb="FF843C0C"/>
      <name val="Arial"/>
      <family val="0"/>
      <charset val="1"/>
    </font>
    <font>
      <sz val="9"/>
      <color rgb="FF000000"/>
      <name val="Arial"/>
      <family val="0"/>
      <charset val="1"/>
    </font>
    <font>
      <b val="true"/>
      <sz val="9"/>
      <color rgb="FF375623"/>
      <name val="Arial"/>
      <family val="0"/>
      <charset val="1"/>
    </font>
    <font>
      <i val="true"/>
      <sz val="9"/>
      <color rgb="FF375623"/>
      <name val="Arial"/>
      <family val="0"/>
      <charset val="1"/>
    </font>
    <font>
      <sz val="10"/>
      <color rgb="FF375623"/>
      <name val="Arial"/>
      <family val="0"/>
      <charset val="1"/>
    </font>
    <font>
      <sz val="10"/>
      <color rgb="FF7030A0"/>
      <name val="Arial"/>
      <family val="0"/>
      <charset val="1"/>
    </font>
    <font>
      <sz val="10"/>
      <color rgb="FF2E75B6"/>
      <name val="Arial"/>
      <family val="0"/>
      <charset val="1"/>
    </font>
    <font>
      <sz val="10"/>
      <color rgb="FF843C0C"/>
      <name val="Arial"/>
      <family val="0"/>
      <charset val="1"/>
    </font>
    <font>
      <b val="true"/>
      <sz val="10"/>
      <color rgb="FF375623"/>
      <name val="Arial"/>
      <family val="0"/>
      <charset val="1"/>
    </font>
    <font>
      <b val="true"/>
      <sz val="10"/>
      <color rgb="FF7030A0"/>
      <name val="Arial"/>
      <family val="0"/>
      <charset val="1"/>
    </font>
    <font>
      <b val="true"/>
      <sz val="10"/>
      <color rgb="FF2E75B6"/>
      <name val="Arial"/>
      <family val="0"/>
      <charset val="1"/>
    </font>
    <font>
      <b val="true"/>
      <sz val="10"/>
      <color rgb="FF843C0C"/>
      <name val="Arial"/>
      <family val="0"/>
      <charset val="1"/>
    </font>
    <font>
      <b val="true"/>
      <sz val="9"/>
      <color rgb="FF000000"/>
      <name val="Arial"/>
      <family val="0"/>
      <charset val="1"/>
    </font>
    <font>
      <sz val="9"/>
      <color rgb="FF375623"/>
      <name val="Arial"/>
      <family val="0"/>
      <charset val="1"/>
    </font>
    <font>
      <sz val="9"/>
      <color rgb="FF843C0C"/>
      <name val="Arial"/>
      <family val="0"/>
      <charset val="1"/>
    </font>
  </fonts>
  <fills count="15">
    <fill>
      <patternFill patternType="none"/>
    </fill>
    <fill>
      <patternFill patternType="gray125"/>
    </fill>
    <fill>
      <patternFill patternType="solid">
        <fgColor rgb="FF1F4E78"/>
        <bgColor rgb="FF305496"/>
      </patternFill>
    </fill>
    <fill>
      <patternFill patternType="solid">
        <fgColor rgb="FF305496"/>
        <bgColor rgb="FF1F4E78"/>
      </patternFill>
    </fill>
    <fill>
      <patternFill patternType="solid">
        <fgColor rgb="FFE2EFDA"/>
        <bgColor rgb="FFF2F2F2"/>
      </patternFill>
    </fill>
    <fill>
      <patternFill patternType="solid">
        <fgColor rgb="FFFFF2CC"/>
        <bgColor rgb="FFFCE4D6"/>
      </patternFill>
    </fill>
    <fill>
      <patternFill patternType="solid">
        <fgColor rgb="FFD9E1F2"/>
        <bgColor rgb="FFE2EFDA"/>
      </patternFill>
    </fill>
    <fill>
      <patternFill patternType="solid">
        <fgColor rgb="FF375623"/>
        <bgColor rgb="FF595959"/>
      </patternFill>
    </fill>
    <fill>
      <patternFill patternType="solid">
        <fgColor rgb="FF7030A0"/>
        <bgColor rgb="FF993366"/>
      </patternFill>
    </fill>
    <fill>
      <patternFill patternType="solid">
        <fgColor rgb="FF2E75B6"/>
        <bgColor rgb="FF305496"/>
      </patternFill>
    </fill>
    <fill>
      <patternFill patternType="solid">
        <fgColor rgb="FF843C0C"/>
        <bgColor rgb="FF993366"/>
      </patternFill>
    </fill>
    <fill>
      <patternFill patternType="solid">
        <fgColor rgb="FFEAD1F7"/>
        <bgColor rgb="FFD9E1F2"/>
      </patternFill>
    </fill>
    <fill>
      <patternFill patternType="solid">
        <fgColor rgb="FFFCE4D6"/>
        <bgColor rgb="FFFFF2CC"/>
      </patternFill>
    </fill>
    <fill>
      <patternFill patternType="solid">
        <fgColor rgb="FFFFFFFF"/>
        <bgColor rgb="FFF2F2F2"/>
      </patternFill>
    </fill>
    <fill>
      <patternFill patternType="solid">
        <fgColor rgb="FFF2F2F2"/>
        <bgColor rgb="FFE2EFDA"/>
      </patternFill>
    </fill>
  </fills>
  <borders count="3">
    <border diagonalUp="false" diagonalDown="false">
      <left/>
      <right/>
      <top/>
      <bottom/>
      <diagonal/>
    </border>
    <border diagonalUp="false" diagonalDown="false">
      <left/>
      <right/>
      <top style="thin"/>
      <bottom style="double"/>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general" vertical="bottom" textRotation="0" wrapText="false" indent="0" shrinkToFit="false"/>
      <protection locked="true" hidden="false"/>
    </xf>
    <xf numFmtId="166" fontId="11" fillId="5" borderId="0" xfId="0" applyFont="true" applyBorder="false" applyAlignment="true" applyProtection="false">
      <alignment horizontal="general" vertical="bottom" textRotation="0" wrapText="false" indent="0" shrinkToFit="false"/>
      <protection locked="true" hidden="false"/>
    </xf>
    <xf numFmtId="165" fontId="11" fillId="5" borderId="0" xfId="0" applyFont="true" applyBorder="false" applyAlignment="true" applyProtection="false">
      <alignment horizontal="general" vertical="bottom" textRotation="0" wrapText="false" indent="0" shrinkToFit="false"/>
      <protection locked="true" hidden="false"/>
    </xf>
    <xf numFmtId="167" fontId="11" fillId="5" borderId="0" xfId="0" applyFont="true" applyBorder="false" applyAlignment="true" applyProtection="false">
      <alignment horizontal="general" vertical="bottom" textRotation="0" wrapText="false" indent="0" shrinkToFit="false"/>
      <protection locked="true" hidden="false"/>
    </xf>
    <xf numFmtId="168" fontId="11" fillId="5" borderId="0" xfId="0" applyFont="true" applyBorder="false" applyAlignment="true" applyProtection="false">
      <alignment horizontal="general" vertical="bottom" textRotation="0" wrapText="false" indent="0" shrinkToFit="false"/>
      <protection locked="true" hidden="false"/>
    </xf>
    <xf numFmtId="169" fontId="11" fillId="5" borderId="0" xfId="0" applyFont="true" applyBorder="false" applyAlignment="true" applyProtection="false">
      <alignment horizontal="general" vertical="bottom" textRotation="0" wrapText="false" indent="0" shrinkToFit="false"/>
      <protection locked="true" hidden="false"/>
    </xf>
    <xf numFmtId="170" fontId="11" fillId="5"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1" fontId="11" fillId="4" borderId="0" xfId="0" applyFont="true" applyBorder="false" applyAlignment="true" applyProtection="false">
      <alignment horizontal="general" vertical="bottom" textRotation="0" wrapText="false" indent="0" shrinkToFit="false"/>
      <protection locked="true" hidden="false"/>
    </xf>
    <xf numFmtId="171" fontId="6" fillId="3"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2" fontId="11" fillId="4" borderId="0" xfId="0" applyFont="true" applyBorder="false" applyAlignment="true" applyProtection="false">
      <alignment horizontal="general" vertical="bottom" textRotation="0" wrapText="false" indent="0" shrinkToFit="false"/>
      <protection locked="true" hidden="false"/>
    </xf>
    <xf numFmtId="172" fontId="6" fillId="3"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73" fontId="11" fillId="3" borderId="0" xfId="0" applyFont="true" applyBorder="false" applyAlignment="tru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general" vertical="bottom" textRotation="0" wrapText="false" indent="0" shrinkToFit="false"/>
      <protection locked="true" hidden="false"/>
    </xf>
    <xf numFmtId="167" fontId="6" fillId="3"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4" fontId="11" fillId="4" borderId="0" xfId="0" applyFont="true" applyBorder="false" applyAlignment="true" applyProtection="false">
      <alignment horizontal="general" vertical="bottom" textRotation="0" wrapText="false" indent="0" shrinkToFit="false"/>
      <protection locked="true" hidden="false"/>
    </xf>
    <xf numFmtId="174" fontId="6" fillId="3" borderId="0" xfId="0" applyFont="true" applyBorder="fals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12" fillId="4" borderId="1" xfId="0" applyFont="true" applyBorder="true" applyAlignment="true" applyProtection="false">
      <alignment horizontal="general" vertical="bottom" textRotation="0" wrapText="false" indent="0" shrinkToFit="false"/>
      <protection locked="true" hidden="false"/>
    </xf>
    <xf numFmtId="167" fontId="6" fillId="3" borderId="1" xfId="0" applyFont="true" applyBorder="true" applyAlignment="tru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7" fontId="13" fillId="4" borderId="0" xfId="0" applyFont="true" applyBorder="false" applyAlignment="true" applyProtection="false">
      <alignment horizontal="general" vertical="bottom" textRotation="0" wrapText="false" indent="0" shrinkToFit="false"/>
      <protection locked="true" hidden="false"/>
    </xf>
    <xf numFmtId="167" fontId="13" fillId="3"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7" fontId="6" fillId="0" borderId="2" xfId="0" applyFont="true" applyBorder="true" applyAlignment="true" applyProtection="false">
      <alignment horizontal="general" vertical="bottom" textRotation="0" wrapText="false" indent="0" shrinkToFit="false"/>
      <protection locked="true" hidden="false"/>
    </xf>
    <xf numFmtId="167" fontId="6" fillId="3" borderId="2" xfId="0" applyFont="true" applyBorder="tru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8" fontId="11" fillId="4" borderId="0" xfId="0" applyFont="true" applyBorder="false" applyAlignment="true" applyProtection="false">
      <alignment horizontal="general" vertical="bottom" textRotation="0" wrapText="false" indent="0" shrinkToFit="false"/>
      <protection locked="true" hidden="false"/>
    </xf>
    <xf numFmtId="168" fontId="6" fillId="3"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75" fontId="6" fillId="3" borderId="0" xfId="0" applyFont="true" applyBorder="false" applyAlignment="true" applyProtection="false">
      <alignment horizontal="general" vertical="bottom" textRotation="0" wrapText="false" indent="0" shrinkToFit="false"/>
      <protection locked="true" hidden="false"/>
    </xf>
    <xf numFmtId="167" fontId="7" fillId="4" borderId="0" xfId="0" applyFont="true" applyBorder="false" applyAlignment="true" applyProtection="false">
      <alignment horizontal="general" vertical="bottom" textRotation="0" wrapText="false" indent="0" shrinkToFit="false"/>
      <protection locked="true" hidden="false"/>
    </xf>
    <xf numFmtId="167" fontId="12" fillId="3" borderId="1" xfId="0" applyFont="true" applyBorder="true" applyAlignment="true" applyProtection="false">
      <alignment horizontal="general" vertical="bottom" textRotation="0" wrapText="false" indent="0" shrinkToFit="false"/>
      <protection locked="true" hidden="false"/>
    </xf>
    <xf numFmtId="167" fontId="12" fillId="0" borderId="2" xfId="0" applyFont="true" applyBorder="true" applyAlignment="true" applyProtection="false">
      <alignment horizontal="general" vertical="bottom" textRotation="0" wrapText="false" indent="0" shrinkToFit="false"/>
      <protection locked="true" hidden="false"/>
    </xf>
    <xf numFmtId="167" fontId="12" fillId="3" borderId="2" xfId="0"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7" fontId="6" fillId="4"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5" fontId="1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9" fillId="8"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1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4" fontId="17" fillId="6" borderId="0" xfId="0" applyFont="true" applyBorder="false" applyAlignment="true" applyProtection="false">
      <alignment horizontal="general" vertical="bottom" textRotation="0" wrapText="true" indent="0" shrinkToFit="false"/>
      <protection locked="true" hidden="false"/>
    </xf>
    <xf numFmtId="164" fontId="17" fillId="12"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4" fontId="18" fillId="12"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6"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right" vertical="bottom" textRotation="0" wrapText="true" indent="0" shrinkToFit="false"/>
      <protection locked="true" hidden="false"/>
    </xf>
    <xf numFmtId="164" fontId="17" fillId="11" borderId="0" xfId="0" applyFont="true" applyBorder="false" applyAlignment="true" applyProtection="false">
      <alignment horizontal="right" vertical="bottom" textRotation="0" wrapText="true" indent="0" shrinkToFit="false"/>
      <protection locked="true" hidden="false"/>
    </xf>
    <xf numFmtId="164" fontId="17" fillId="6" borderId="0" xfId="0" applyFont="true" applyBorder="false" applyAlignment="true" applyProtection="false">
      <alignment horizontal="right" vertical="bottom" textRotation="0" wrapText="true" indent="0" shrinkToFit="false"/>
      <protection locked="true" hidden="false"/>
    </xf>
    <xf numFmtId="164" fontId="17" fillId="12" borderId="0" xfId="0" applyFont="true" applyBorder="false" applyAlignment="true" applyProtection="false">
      <alignment horizontal="righ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6" fontId="23" fillId="4" borderId="0" xfId="0" applyFont="true" applyBorder="false" applyAlignment="true" applyProtection="false">
      <alignment horizontal="right" vertical="bottom" textRotation="0" wrapText="false" indent="0" shrinkToFit="false"/>
      <protection locked="true" hidden="false"/>
    </xf>
    <xf numFmtId="176" fontId="24" fillId="11" borderId="0" xfId="0" applyFont="true" applyBorder="false" applyAlignment="true" applyProtection="false">
      <alignment horizontal="right" vertical="bottom" textRotation="0" wrapText="false" indent="0" shrinkToFit="false"/>
      <protection locked="true" hidden="false"/>
    </xf>
    <xf numFmtId="176" fontId="25" fillId="6" borderId="0" xfId="0" applyFont="true" applyBorder="false" applyAlignment="true" applyProtection="false">
      <alignment horizontal="right" vertical="bottom" textRotation="0" wrapText="false" indent="0" shrinkToFit="false"/>
      <protection locked="true" hidden="false"/>
    </xf>
    <xf numFmtId="176" fontId="26" fillId="12" borderId="0" xfId="0" applyFont="true" applyBorder="false" applyAlignment="true" applyProtection="false">
      <alignment horizontal="right" vertical="bottom" textRotation="0" wrapText="false" indent="0" shrinkToFit="false"/>
      <protection locked="true" hidden="false"/>
    </xf>
    <xf numFmtId="176" fontId="27" fillId="4" borderId="2" xfId="0" applyFont="true" applyBorder="true" applyAlignment="true" applyProtection="false">
      <alignment horizontal="right" vertical="bottom" textRotation="0" wrapText="false" indent="0" shrinkToFit="false"/>
      <protection locked="true" hidden="false"/>
    </xf>
    <xf numFmtId="176" fontId="28" fillId="11" borderId="0" xfId="0" applyFont="true" applyBorder="false" applyAlignment="true" applyProtection="false">
      <alignment horizontal="right" vertical="bottom" textRotation="0" wrapText="false" indent="0" shrinkToFit="false"/>
      <protection locked="true" hidden="false"/>
    </xf>
    <xf numFmtId="176" fontId="29" fillId="6" borderId="0" xfId="0" applyFont="true" applyBorder="false" applyAlignment="true" applyProtection="false">
      <alignment horizontal="right" vertical="bottom" textRotation="0" wrapText="false" indent="0" shrinkToFit="false"/>
      <protection locked="true" hidden="false"/>
    </xf>
    <xf numFmtId="176" fontId="30" fillId="12" borderId="0" xfId="0" applyFont="true" applyBorder="false" applyAlignment="true" applyProtection="false">
      <alignment horizontal="righ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77" fontId="23" fillId="4" borderId="0" xfId="0" applyFont="true" applyBorder="false" applyAlignment="true" applyProtection="false">
      <alignment horizontal="right" vertical="bottom" textRotation="0" wrapText="false" indent="0" shrinkToFit="false"/>
      <protection locked="true" hidden="false"/>
    </xf>
    <xf numFmtId="177" fontId="24" fillId="11" borderId="0" xfId="0" applyFont="true" applyBorder="false" applyAlignment="true" applyProtection="false">
      <alignment horizontal="right" vertical="bottom" textRotation="0" wrapText="false" indent="0" shrinkToFit="false"/>
      <protection locked="true" hidden="false"/>
    </xf>
    <xf numFmtId="177" fontId="25" fillId="6" borderId="0" xfId="0" applyFont="true" applyBorder="false" applyAlignment="true" applyProtection="false">
      <alignment horizontal="right" vertical="bottom" textRotation="0" wrapText="false" indent="0" shrinkToFit="false"/>
      <protection locked="true" hidden="false"/>
    </xf>
    <xf numFmtId="177" fontId="26" fillId="12" borderId="0" xfId="0" applyFont="true" applyBorder="false" applyAlignment="true" applyProtection="false">
      <alignment horizontal="right" vertical="bottom" textRotation="0" wrapText="false" indent="0" shrinkToFit="false"/>
      <protection locked="true" hidden="false"/>
    </xf>
    <xf numFmtId="176" fontId="28" fillId="11" borderId="2" xfId="0" applyFont="true" applyBorder="true" applyAlignment="true" applyProtection="false">
      <alignment horizontal="right" vertical="bottom" textRotation="0" wrapText="false" indent="0" shrinkToFit="false"/>
      <protection locked="true" hidden="false"/>
    </xf>
    <xf numFmtId="176" fontId="29" fillId="6" borderId="2" xfId="0" applyFont="true" applyBorder="true" applyAlignment="true" applyProtection="false">
      <alignment horizontal="right" vertical="bottom" textRotation="0" wrapText="false" indent="0" shrinkToFit="false"/>
      <protection locked="true" hidden="false"/>
    </xf>
    <xf numFmtId="176" fontId="30" fillId="12" borderId="2" xfId="0" applyFont="true" applyBorder="true" applyAlignment="true" applyProtection="false">
      <alignment horizontal="right" vertical="bottom" textRotation="0" wrapText="false" indent="0" shrinkToFit="false"/>
      <protection locked="true" hidden="false"/>
    </xf>
    <xf numFmtId="178" fontId="27" fillId="4" borderId="0" xfId="0" applyFont="true" applyBorder="false" applyAlignment="true" applyProtection="false">
      <alignment horizontal="right" vertical="bottom" textRotation="0" wrapText="false" indent="0" shrinkToFit="false"/>
      <protection locked="true" hidden="false"/>
    </xf>
    <xf numFmtId="178" fontId="28" fillId="11" borderId="0" xfId="0" applyFont="true" applyBorder="false" applyAlignment="true" applyProtection="false">
      <alignment horizontal="right" vertical="bottom" textRotation="0" wrapText="false" indent="0" shrinkToFit="false"/>
      <protection locked="true" hidden="false"/>
    </xf>
    <xf numFmtId="178" fontId="29" fillId="6" borderId="0" xfId="0" applyFont="true" applyBorder="false" applyAlignment="true" applyProtection="false">
      <alignment horizontal="right" vertical="bottom" textRotation="0" wrapText="false" indent="0" shrinkToFit="false"/>
      <protection locked="true" hidden="false"/>
    </xf>
    <xf numFmtId="178" fontId="30" fillId="12" borderId="0" xfId="0" applyFont="true" applyBorder="false" applyAlignment="true" applyProtection="false">
      <alignment horizontal="right" vertical="bottom" textRotation="0" wrapText="false" indent="0" shrinkToFit="false"/>
      <protection locked="true" hidden="false"/>
    </xf>
    <xf numFmtId="178" fontId="23" fillId="4" borderId="0" xfId="0" applyFont="true" applyBorder="false" applyAlignment="true" applyProtection="false">
      <alignment horizontal="right" vertical="bottom" textRotation="0" wrapText="false" indent="0" shrinkToFit="false"/>
      <protection locked="true" hidden="false"/>
    </xf>
    <xf numFmtId="178" fontId="24" fillId="11" borderId="0" xfId="0" applyFont="true" applyBorder="false" applyAlignment="true" applyProtection="false">
      <alignment horizontal="right" vertical="bottom" textRotation="0" wrapText="false" indent="0" shrinkToFit="false"/>
      <protection locked="true" hidden="false"/>
    </xf>
    <xf numFmtId="178" fontId="25" fillId="6" borderId="0" xfId="0" applyFont="true" applyBorder="false" applyAlignment="true" applyProtection="false">
      <alignment horizontal="right" vertical="bottom" textRotation="0" wrapText="false" indent="0" shrinkToFit="false"/>
      <protection locked="true" hidden="false"/>
    </xf>
    <xf numFmtId="178" fontId="26" fillId="12" borderId="0" xfId="0" applyFont="true" applyBorder="false" applyAlignment="true" applyProtection="false">
      <alignment horizontal="right" vertical="bottom" textRotation="0" wrapText="false" indent="0" shrinkToFit="false"/>
      <protection locked="true" hidden="false"/>
    </xf>
    <xf numFmtId="164" fontId="25" fillId="6" borderId="0" xfId="0" applyFont="true" applyBorder="false" applyAlignment="true" applyProtection="false">
      <alignment horizontal="right"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9" fillId="1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5" fontId="13" fillId="3" borderId="0" xfId="0" applyFont="true" applyBorder="false" applyAlignment="true" applyProtection="false">
      <alignment horizontal="general" vertical="bottom" textRotation="0" wrapText="false" indent="0" shrinkToFit="false"/>
      <protection locked="true" hidden="false"/>
    </xf>
    <xf numFmtId="179" fontId="13" fillId="0" borderId="0" xfId="0" applyFont="true" applyBorder="false" applyAlignment="true" applyProtection="false">
      <alignment horizontal="general" vertical="bottom" textRotation="0" wrapText="false" indent="0" shrinkToFit="false"/>
      <protection locked="true" hidden="false"/>
    </xf>
    <xf numFmtId="179" fontId="13" fillId="3" borderId="0" xfId="0" applyFont="true" applyBorder="false" applyAlignment="true" applyProtection="false">
      <alignment horizontal="general" vertical="bottom" textRotation="0" wrapText="false" indent="0" shrinkToFit="false"/>
      <protection locked="true" hidden="false"/>
    </xf>
    <xf numFmtId="180" fontId="13" fillId="0" borderId="0" xfId="0" applyFont="true" applyBorder="false" applyAlignment="true" applyProtection="false">
      <alignment horizontal="general" vertical="bottom" textRotation="0" wrapText="false" indent="0" shrinkToFit="false"/>
      <protection locked="true" hidden="false"/>
    </xf>
    <xf numFmtId="180" fontId="13" fillId="3" borderId="0" xfId="0" applyFont="true" applyBorder="false" applyAlignment="true" applyProtection="false">
      <alignment horizontal="general" vertical="bottom" textRotation="0" wrapText="false" indent="0" shrinkToFit="false"/>
      <protection locked="true" hidden="false"/>
    </xf>
    <xf numFmtId="175" fontId="13" fillId="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F2F2F2"/>
      <rgbColor rgb="FF660066"/>
      <rgbColor rgb="FFFF8080"/>
      <rgbColor rgb="FF0066CC"/>
      <rgbColor rgb="FFEAD1F7"/>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4E78"/>
      <rgbColor rgb="FF339966"/>
      <rgbColor rgb="FF003300"/>
      <rgbColor rgb="FF333300"/>
      <rgbColor rgb="FF843C0C"/>
      <rgbColor rgb="FF993366"/>
      <rgbColor rgb="FF30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0" hidden="false" customHeight="true" outlineLevel="0" collapsed="false">
      <c r="A5" s="5" t="s">
        <v>3</v>
      </c>
    </row>
    <row r="6" customFormat="false" ht="15" hidden="false" customHeight="true" outlineLevel="0" collapsed="false">
      <c r="A6" s="5"/>
    </row>
    <row r="7" customFormat="false" ht="15" hidden="false" customHeight="true" outlineLevel="0" collapsed="false">
      <c r="A7" s="4" t="s">
        <v>4</v>
      </c>
    </row>
    <row r="8" customFormat="false" ht="45" hidden="false" customHeight="true" outlineLevel="0" collapsed="false">
      <c r="A8" s="5" t="s">
        <v>5</v>
      </c>
    </row>
    <row r="9" customFormat="false" ht="30" hidden="false" customHeight="true" outlineLevel="0" collapsed="false">
      <c r="A9" s="5" t="s">
        <v>6</v>
      </c>
    </row>
    <row r="10" customFormat="false" ht="15" hidden="false" customHeight="true" outlineLevel="0" collapsed="false">
      <c r="A10" s="5" t="s">
        <v>7</v>
      </c>
    </row>
    <row r="11" customFormat="false" ht="15" hidden="false" customHeight="true" outlineLevel="0" collapsed="false">
      <c r="A11" s="5"/>
    </row>
    <row r="12" customFormat="false" ht="15" hidden="false" customHeight="true" outlineLevel="0" collapsed="false">
      <c r="A12" s="4" t="s">
        <v>8</v>
      </c>
    </row>
    <row r="13" customFormat="false" ht="45" hidden="false" customHeight="true" outlineLevel="0" collapsed="false">
      <c r="A13" s="5" t="s">
        <v>9</v>
      </c>
    </row>
    <row r="14" customFormat="false" ht="45" hidden="false" customHeight="true" outlineLevel="0" collapsed="false">
      <c r="A14" s="5" t="s">
        <v>10</v>
      </c>
    </row>
    <row r="15" customFormat="false" ht="30" hidden="false" customHeight="true" outlineLevel="0" collapsed="false">
      <c r="A15" s="5" t="s">
        <v>11</v>
      </c>
    </row>
    <row r="16" customFormat="false" ht="15" hidden="false" customHeight="true" outlineLevel="0" collapsed="false">
      <c r="A16" s="5" t="s">
        <v>12</v>
      </c>
    </row>
    <row r="17" customFormat="false" ht="15" hidden="false" customHeight="true" outlineLevel="0" collapsed="false">
      <c r="A17" s="5"/>
    </row>
    <row r="18" customFormat="false" ht="15" hidden="false" customHeight="true" outlineLevel="0" collapsed="false">
      <c r="A18" s="4" t="s">
        <v>13</v>
      </c>
    </row>
    <row r="19" customFormat="false" ht="15" hidden="false" customHeight="true" outlineLevel="0" collapsed="false">
      <c r="A19" s="5" t="s">
        <v>14</v>
      </c>
    </row>
    <row r="20" customFormat="false" ht="30" hidden="false" customHeight="true" outlineLevel="0" collapsed="false">
      <c r="A20" s="5" t="s">
        <v>15</v>
      </c>
    </row>
    <row r="21" customFormat="false" ht="60" hidden="false" customHeight="true" outlineLevel="0" collapsed="false">
      <c r="A21" s="5" t="s">
        <v>16</v>
      </c>
    </row>
    <row r="22" customFormat="false" ht="15" hidden="false" customHeight="true" outlineLevel="0" collapsed="false">
      <c r="A22" s="5"/>
    </row>
    <row r="23" customFormat="false" ht="15" hidden="false" customHeight="true" outlineLevel="0" collapsed="false">
      <c r="A23" s="4" t="s">
        <v>17</v>
      </c>
    </row>
    <row r="24" customFormat="false" ht="45" hidden="false" customHeight="true" outlineLevel="0" collapsed="false">
      <c r="A24" s="5" t="s">
        <v>18</v>
      </c>
    </row>
    <row r="25" customFormat="false" ht="30" hidden="false" customHeight="true" outlineLevel="0" collapsed="false">
      <c r="A25" s="5" t="s">
        <v>19</v>
      </c>
    </row>
    <row r="26" customFormat="false" ht="15" hidden="false" customHeight="true" outlineLevel="0" collapsed="false">
      <c r="A26" s="5" t="s">
        <v>20</v>
      </c>
    </row>
    <row r="27" customFormat="false" ht="15" hidden="false" customHeight="true" outlineLevel="0" collapsed="false">
      <c r="A27" s="5"/>
    </row>
    <row r="28" customFormat="false" ht="15" hidden="false" customHeight="true" outlineLevel="0" collapsed="false">
      <c r="A28" s="4" t="s">
        <v>21</v>
      </c>
    </row>
    <row r="29" customFormat="false" ht="75" hidden="false" customHeight="true" outlineLevel="0" collapsed="false">
      <c r="A29" s="5" t="s">
        <v>22</v>
      </c>
    </row>
    <row r="30" customFormat="false" ht="45" hidden="false" customHeight="true" outlineLevel="0" collapsed="false">
      <c r="A30" s="5" t="s">
        <v>23</v>
      </c>
    </row>
    <row r="31" customFormat="false" ht="15" hidden="false" customHeight="true" outlineLevel="0" collapsed="false">
      <c r="A31" s="5"/>
    </row>
    <row r="32" customFormat="false" ht="15" hidden="false" customHeight="true" outlineLevel="0" collapsed="false">
      <c r="A32" s="4" t="s">
        <v>24</v>
      </c>
    </row>
    <row r="33" customFormat="false" ht="45" hidden="false" customHeight="true" outlineLevel="0" collapsed="false">
      <c r="A33" s="5" t="s">
        <v>25</v>
      </c>
    </row>
    <row r="34" customFormat="false" ht="60" hidden="false" customHeight="true" outlineLevel="0" collapsed="false">
      <c r="A34" s="5" t="s">
        <v>26</v>
      </c>
    </row>
    <row r="35" customFormat="false" ht="60" hidden="false" customHeight="true" outlineLevel="0" collapsed="false">
      <c r="A35" s="5" t="s">
        <v>27</v>
      </c>
    </row>
    <row r="36" customFormat="false" ht="60" hidden="false" customHeight="true" outlineLevel="0" collapsed="false">
      <c r="A36" s="5" t="s">
        <v>28</v>
      </c>
    </row>
    <row r="37" customFormat="false" ht="75" hidden="false" customHeight="true" outlineLevel="0" collapsed="false">
      <c r="A37"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1" min="2" style="1" width="11"/>
    <col collapsed="false" customWidth="true" hidden="false" outlineLevel="0" max="23" min="23" style="1" width="100"/>
  </cols>
  <sheetData>
    <row r="1" customFormat="false" ht="17.25" hidden="false" customHeight="true" outlineLevel="0" collapsed="false">
      <c r="A1" s="2" t="s">
        <v>30</v>
      </c>
    </row>
    <row r="2" customFormat="false" ht="15" hidden="false" customHeight="true" outlineLevel="0" collapsed="false">
      <c r="A2" s="6" t="s">
        <v>31</v>
      </c>
    </row>
    <row r="3" customFormat="false" ht="15" hidden="false" customHeight="true" outlineLevel="0" collapsed="false">
      <c r="A3" s="6" t="s">
        <v>32</v>
      </c>
    </row>
    <row r="5" customFormat="false" ht="15" hidden="false" customHeight="true" outlineLevel="0" collapsed="false">
      <c r="A5" s="7" t="s">
        <v>33</v>
      </c>
      <c r="B5" s="8" t="s">
        <v>34</v>
      </c>
      <c r="C5" s="8" t="s">
        <v>35</v>
      </c>
      <c r="D5" s="8" t="s">
        <v>36</v>
      </c>
      <c r="E5" s="8" t="s">
        <v>37</v>
      </c>
      <c r="F5" s="9" t="s">
        <v>38</v>
      </c>
      <c r="G5" s="8" t="s">
        <v>39</v>
      </c>
      <c r="H5" s="8" t="s">
        <v>40</v>
      </c>
      <c r="I5" s="8" t="s">
        <v>41</v>
      </c>
      <c r="J5" s="8" t="s">
        <v>42</v>
      </c>
      <c r="K5" s="9" t="s">
        <v>43</v>
      </c>
      <c r="L5" s="8" t="s">
        <v>44</v>
      </c>
      <c r="M5" s="8" t="s">
        <v>45</v>
      </c>
      <c r="N5" s="8" t="s">
        <v>46</v>
      </c>
      <c r="O5" s="8" t="s">
        <v>47</v>
      </c>
      <c r="P5" s="9" t="s">
        <v>48</v>
      </c>
      <c r="Q5" s="8" t="s">
        <v>49</v>
      </c>
      <c r="R5" s="8" t="s">
        <v>50</v>
      </c>
      <c r="S5" s="8" t="s">
        <v>51</v>
      </c>
      <c r="T5" s="8" t="s">
        <v>52</v>
      </c>
      <c r="U5" s="9" t="s">
        <v>53</v>
      </c>
    </row>
    <row r="7" customFormat="false" ht="15" hidden="false" customHeight="true" outlineLevel="0" collapsed="false">
      <c r="A7" s="10" t="s">
        <v>54</v>
      </c>
      <c r="B7" s="11"/>
      <c r="C7" s="11"/>
      <c r="D7" s="11"/>
      <c r="E7" s="11"/>
      <c r="F7" s="11"/>
      <c r="G7" s="11"/>
      <c r="H7" s="11"/>
      <c r="I7" s="11"/>
      <c r="J7" s="11"/>
      <c r="K7" s="11"/>
      <c r="L7" s="11"/>
      <c r="M7" s="11"/>
      <c r="N7" s="11"/>
      <c r="O7" s="11"/>
      <c r="P7" s="11"/>
      <c r="Q7" s="11"/>
      <c r="R7" s="11"/>
      <c r="S7" s="11"/>
      <c r="T7" s="11"/>
      <c r="U7" s="11"/>
    </row>
    <row r="8" customFormat="false" ht="15" hidden="false" customHeight="true" outlineLevel="0" collapsed="false">
      <c r="A8" s="12" t="s">
        <v>55</v>
      </c>
      <c r="B8" s="13"/>
      <c r="C8" s="13"/>
      <c r="D8" s="13"/>
      <c r="E8" s="13"/>
      <c r="G8" s="14" t="n">
        <v>0.1576</v>
      </c>
      <c r="H8" s="15" t="n">
        <v>0.107694423</v>
      </c>
      <c r="I8" s="15" t="n">
        <v>0.107694423</v>
      </c>
      <c r="J8" s="15" t="n">
        <v>0.067694423</v>
      </c>
      <c r="L8" s="16" t="n">
        <v>0.08</v>
      </c>
      <c r="M8" s="16" t="n">
        <v>0.08</v>
      </c>
      <c r="N8" s="16" t="n">
        <v>0.08</v>
      </c>
      <c r="O8" s="16" t="n">
        <v>0.08</v>
      </c>
      <c r="Q8" s="16" t="n">
        <v>0.08</v>
      </c>
      <c r="R8" s="16" t="n">
        <v>0.08</v>
      </c>
      <c r="S8" s="16" t="n">
        <v>0.08</v>
      </c>
      <c r="T8" s="16" t="n">
        <v>0.08</v>
      </c>
      <c r="W8" s="6" t="s">
        <v>56</v>
      </c>
    </row>
    <row r="9" customFormat="false" ht="15" hidden="false" customHeight="true" outlineLevel="0" collapsed="false">
      <c r="A9" s="12" t="s">
        <v>57</v>
      </c>
      <c r="B9" s="13"/>
      <c r="C9" s="13"/>
      <c r="D9" s="13"/>
      <c r="E9" s="13"/>
      <c r="G9" s="13"/>
      <c r="H9" s="16" t="n">
        <v>0.225</v>
      </c>
      <c r="I9" s="16" t="n">
        <v>0.228</v>
      </c>
      <c r="J9" s="16" t="n">
        <v>0.23</v>
      </c>
      <c r="L9" s="16" t="n">
        <v>0.225</v>
      </c>
      <c r="M9" s="16" t="n">
        <v>0.225</v>
      </c>
      <c r="N9" s="16" t="n">
        <v>0.225</v>
      </c>
      <c r="O9" s="16" t="n">
        <v>0.225</v>
      </c>
      <c r="Q9" s="16" t="n">
        <v>0.225</v>
      </c>
      <c r="R9" s="16" t="n">
        <v>0.225</v>
      </c>
      <c r="S9" s="16" t="n">
        <v>0.225</v>
      </c>
      <c r="T9" s="16" t="n">
        <v>0.225</v>
      </c>
      <c r="W9" s="6" t="s">
        <v>58</v>
      </c>
    </row>
    <row r="10" customFormat="false" ht="15" hidden="false" customHeight="true" outlineLevel="0" collapsed="false">
      <c r="A10" s="12" t="s">
        <v>59</v>
      </c>
      <c r="B10" s="13"/>
      <c r="C10" s="13"/>
      <c r="D10" s="13"/>
      <c r="E10" s="13"/>
      <c r="G10" s="13"/>
      <c r="H10" s="16" t="n">
        <v>0.013</v>
      </c>
      <c r="I10" s="16" t="n">
        <v>0.013</v>
      </c>
      <c r="J10" s="16" t="n">
        <v>0.013</v>
      </c>
      <c r="L10" s="16" t="n">
        <v>0.013</v>
      </c>
      <c r="M10" s="16" t="n">
        <v>0.013</v>
      </c>
      <c r="N10" s="16" t="n">
        <v>0.013</v>
      </c>
      <c r="O10" s="16" t="n">
        <v>0.013</v>
      </c>
      <c r="Q10" s="16" t="n">
        <v>0.013</v>
      </c>
      <c r="R10" s="16" t="n">
        <v>0.013</v>
      </c>
      <c r="S10" s="16" t="n">
        <v>0.013</v>
      </c>
      <c r="T10" s="16" t="n">
        <v>0.013</v>
      </c>
      <c r="W10" s="6" t="s">
        <v>60</v>
      </c>
    </row>
    <row r="11" customFormat="false" ht="15" hidden="false" customHeight="true" outlineLevel="0" collapsed="false">
      <c r="A11" s="12" t="s">
        <v>61</v>
      </c>
      <c r="B11" s="13"/>
      <c r="C11" s="13"/>
      <c r="D11" s="13"/>
      <c r="E11" s="13"/>
      <c r="G11" s="13"/>
      <c r="H11" s="16" t="n">
        <v>0.165</v>
      </c>
      <c r="I11" s="16" t="n">
        <v>0.165</v>
      </c>
      <c r="J11" s="16" t="n">
        <v>0.165</v>
      </c>
      <c r="L11" s="16" t="n">
        <v>0.165</v>
      </c>
      <c r="M11" s="16" t="n">
        <v>0.165</v>
      </c>
      <c r="N11" s="16" t="n">
        <v>0.165</v>
      </c>
      <c r="O11" s="16" t="n">
        <v>0.165</v>
      </c>
      <c r="Q11" s="16" t="n">
        <v>0.165</v>
      </c>
      <c r="R11" s="16" t="n">
        <v>0.165</v>
      </c>
      <c r="S11" s="16" t="n">
        <v>0.165</v>
      </c>
      <c r="T11" s="16" t="n">
        <v>0.165</v>
      </c>
      <c r="W11" s="6" t="s">
        <v>62</v>
      </c>
    </row>
    <row r="12" customFormat="false" ht="15" hidden="false" customHeight="true" outlineLevel="0" collapsed="false">
      <c r="A12" s="12" t="s">
        <v>63</v>
      </c>
      <c r="B12" s="13"/>
      <c r="C12" s="13"/>
      <c r="D12" s="13"/>
      <c r="E12" s="13"/>
      <c r="G12" s="13"/>
      <c r="H12" s="16" t="n">
        <v>0.011</v>
      </c>
      <c r="I12" s="16" t="n">
        <v>0.011</v>
      </c>
      <c r="J12" s="16" t="n">
        <v>0.011</v>
      </c>
      <c r="L12" s="16" t="n">
        <v>0.011</v>
      </c>
      <c r="M12" s="16" t="n">
        <v>0.011</v>
      </c>
      <c r="N12" s="16" t="n">
        <v>0.011</v>
      </c>
      <c r="O12" s="16" t="n">
        <v>0.011</v>
      </c>
      <c r="Q12" s="16" t="n">
        <v>0.011</v>
      </c>
      <c r="R12" s="16" t="n">
        <v>0.011</v>
      </c>
      <c r="S12" s="16" t="n">
        <v>0.011</v>
      </c>
      <c r="T12" s="16" t="n">
        <v>0.011</v>
      </c>
      <c r="W12" s="6" t="s">
        <v>64</v>
      </c>
    </row>
    <row r="13" customFormat="false" ht="15" hidden="false" customHeight="true" outlineLevel="0" collapsed="false">
      <c r="A13" s="12" t="s">
        <v>65</v>
      </c>
      <c r="B13" s="13"/>
      <c r="C13" s="13"/>
      <c r="D13" s="13"/>
      <c r="E13" s="13"/>
      <c r="G13" s="13"/>
      <c r="H13" s="16" t="n">
        <v>0.3</v>
      </c>
      <c r="I13" s="16" t="n">
        <v>0.3</v>
      </c>
      <c r="J13" s="16" t="n">
        <v>0.3</v>
      </c>
      <c r="L13" s="16" t="n">
        <v>0.3</v>
      </c>
      <c r="M13" s="16" t="n">
        <v>0.3</v>
      </c>
      <c r="N13" s="16" t="n">
        <v>0.3</v>
      </c>
      <c r="O13" s="16" t="n">
        <v>0.3</v>
      </c>
      <c r="Q13" s="16" t="n">
        <v>0.3</v>
      </c>
      <c r="R13" s="16" t="n">
        <v>0.3</v>
      </c>
      <c r="S13" s="16" t="n">
        <v>0.3</v>
      </c>
      <c r="T13" s="16" t="n">
        <v>0.3</v>
      </c>
      <c r="W13" s="6" t="s">
        <v>66</v>
      </c>
    </row>
    <row r="14" customFormat="false" ht="15" hidden="false" customHeight="true" outlineLevel="0" collapsed="false">
      <c r="A14" s="12" t="s">
        <v>67</v>
      </c>
      <c r="B14" s="13"/>
      <c r="C14" s="13"/>
      <c r="D14" s="13"/>
      <c r="E14" s="13"/>
      <c r="G14" s="13"/>
      <c r="H14" s="17" t="n">
        <v>137</v>
      </c>
      <c r="I14" s="17" t="n">
        <v>137</v>
      </c>
      <c r="J14" s="17" t="n">
        <v>137</v>
      </c>
      <c r="L14" s="17" t="n">
        <v>137</v>
      </c>
      <c r="M14" s="17" t="n">
        <v>137</v>
      </c>
      <c r="N14" s="17" t="n">
        <v>137</v>
      </c>
      <c r="O14" s="17" t="n">
        <v>137</v>
      </c>
      <c r="Q14" s="17" t="n">
        <v>137</v>
      </c>
      <c r="R14" s="17" t="n">
        <v>137</v>
      </c>
      <c r="S14" s="17" t="n">
        <v>137</v>
      </c>
      <c r="T14" s="17" t="n">
        <v>137</v>
      </c>
      <c r="W14" s="6" t="s">
        <v>68</v>
      </c>
    </row>
    <row r="15" customFormat="false" ht="15" hidden="false" customHeight="true" outlineLevel="0" collapsed="false">
      <c r="A15" s="12" t="s">
        <v>69</v>
      </c>
      <c r="B15" s="13"/>
      <c r="C15" s="13"/>
      <c r="D15" s="13"/>
      <c r="E15" s="13"/>
      <c r="G15" s="13"/>
      <c r="H15" s="18" t="n">
        <v>27800</v>
      </c>
      <c r="I15" s="18" t="n">
        <v>27800</v>
      </c>
      <c r="J15" s="18" t="n">
        <v>27800</v>
      </c>
      <c r="L15" s="18" t="n">
        <v>27800</v>
      </c>
      <c r="M15" s="18" t="n">
        <v>27800</v>
      </c>
      <c r="N15" s="18" t="n">
        <v>27800</v>
      </c>
      <c r="O15" s="18" t="n">
        <v>27800</v>
      </c>
      <c r="Q15" s="18" t="n">
        <v>27800</v>
      </c>
      <c r="R15" s="18" t="n">
        <v>27800</v>
      </c>
      <c r="S15" s="18" t="n">
        <v>27800</v>
      </c>
      <c r="T15" s="18" t="n">
        <v>27800</v>
      </c>
      <c r="W15" s="6" t="s">
        <v>70</v>
      </c>
    </row>
    <row r="17" customFormat="false" ht="15" hidden="false" customHeight="true" outlineLevel="0" collapsed="false">
      <c r="A17" s="10" t="s">
        <v>71</v>
      </c>
      <c r="B17" s="11"/>
      <c r="C17" s="11"/>
      <c r="D17" s="11"/>
      <c r="E17" s="11"/>
      <c r="F17" s="11"/>
      <c r="G17" s="11"/>
      <c r="H17" s="11"/>
      <c r="I17" s="11"/>
      <c r="J17" s="11"/>
      <c r="K17" s="11"/>
      <c r="L17" s="11"/>
      <c r="M17" s="11"/>
      <c r="N17" s="11"/>
      <c r="O17" s="11"/>
      <c r="P17" s="11"/>
      <c r="Q17" s="11"/>
      <c r="R17" s="11"/>
      <c r="S17" s="11"/>
      <c r="T17" s="11"/>
      <c r="U17" s="11"/>
    </row>
    <row r="18" customFormat="false" ht="15" hidden="false" customHeight="true" outlineLevel="0" collapsed="false">
      <c r="A18" s="12" t="s">
        <v>72</v>
      </c>
      <c r="H18" s="19" t="n">
        <v>19</v>
      </c>
      <c r="I18" s="19" t="n">
        <v>19</v>
      </c>
      <c r="J18" s="19" t="n">
        <v>19</v>
      </c>
      <c r="L18" s="19" t="n">
        <v>19</v>
      </c>
      <c r="M18" s="19" t="n">
        <v>19</v>
      </c>
      <c r="N18" s="19" t="n">
        <v>19</v>
      </c>
      <c r="O18" s="19" t="n">
        <v>19</v>
      </c>
      <c r="Q18" s="19" t="n">
        <v>19</v>
      </c>
      <c r="R18" s="19" t="n">
        <v>19</v>
      </c>
      <c r="S18" s="19" t="n">
        <v>19</v>
      </c>
      <c r="T18" s="19" t="n">
        <v>19</v>
      </c>
      <c r="W18" s="6" t="s">
        <v>73</v>
      </c>
    </row>
    <row r="19" customFormat="false" ht="15" hidden="false" customHeight="true" outlineLevel="0" collapsed="false">
      <c r="A19" s="12" t="s">
        <v>74</v>
      </c>
      <c r="H19" s="19" t="n">
        <v>7</v>
      </c>
      <c r="I19" s="19" t="n">
        <v>7</v>
      </c>
      <c r="J19" s="19" t="n">
        <v>7</v>
      </c>
      <c r="L19" s="19" t="n">
        <v>7</v>
      </c>
      <c r="M19" s="19" t="n">
        <v>7</v>
      </c>
      <c r="N19" s="19" t="n">
        <v>7</v>
      </c>
      <c r="O19" s="19" t="n">
        <v>7</v>
      </c>
      <c r="Q19" s="19" t="n">
        <v>7</v>
      </c>
      <c r="R19" s="19" t="n">
        <v>7</v>
      </c>
      <c r="S19" s="19" t="n">
        <v>7</v>
      </c>
      <c r="T19" s="19" t="n">
        <v>7</v>
      </c>
      <c r="W19" s="6" t="s">
        <v>75</v>
      </c>
    </row>
    <row r="20" customFormat="false" ht="15" hidden="false" customHeight="true" outlineLevel="0" collapsed="false">
      <c r="A20" s="12" t="s">
        <v>76</v>
      </c>
      <c r="H20" s="20" t="n">
        <v>2.8</v>
      </c>
      <c r="I20" s="20" t="n">
        <v>2.8</v>
      </c>
      <c r="J20" s="20" t="n">
        <v>2.8</v>
      </c>
      <c r="L20" s="20" t="n">
        <v>2.8</v>
      </c>
      <c r="M20" s="20" t="n">
        <v>2.8</v>
      </c>
      <c r="N20" s="20" t="n">
        <v>2.8</v>
      </c>
      <c r="O20" s="20" t="n">
        <v>2.8</v>
      </c>
      <c r="Q20" s="20" t="n">
        <v>2.8</v>
      </c>
      <c r="R20" s="20" t="n">
        <v>2.8</v>
      </c>
      <c r="S20" s="20" t="n">
        <v>2.8</v>
      </c>
      <c r="T20" s="20" t="n">
        <v>2.8</v>
      </c>
      <c r="W20" s="6" t="s">
        <v>77</v>
      </c>
    </row>
    <row r="21" customFormat="false" ht="15" hidden="false" customHeight="true" outlineLevel="0" collapsed="false">
      <c r="A21" s="12" t="s">
        <v>78</v>
      </c>
      <c r="H21" s="20" t="n">
        <v>0.65</v>
      </c>
      <c r="I21" s="20" t="n">
        <v>0.65</v>
      </c>
      <c r="J21" s="20" t="n">
        <v>0.65</v>
      </c>
      <c r="L21" s="20" t="n">
        <v>0.65</v>
      </c>
      <c r="M21" s="20" t="n">
        <v>0.65</v>
      </c>
      <c r="N21" s="20" t="n">
        <v>0.65</v>
      </c>
      <c r="O21" s="20" t="n">
        <v>0.65</v>
      </c>
      <c r="Q21" s="20" t="n">
        <v>0.65</v>
      </c>
      <c r="R21" s="20" t="n">
        <v>0.65</v>
      </c>
      <c r="S21" s="20" t="n">
        <v>0.65</v>
      </c>
      <c r="T21" s="20" t="n">
        <v>0.65</v>
      </c>
      <c r="W21" s="6" t="s">
        <v>79</v>
      </c>
    </row>
    <row r="22" customFormat="false" ht="15" hidden="false" customHeight="true" outlineLevel="0" collapsed="false">
      <c r="A22" s="12" t="s">
        <v>80</v>
      </c>
      <c r="H22" s="20" t="n">
        <v>0.1</v>
      </c>
      <c r="I22" s="20" t="n">
        <v>0.1</v>
      </c>
      <c r="J22" s="20" t="n">
        <v>0.1</v>
      </c>
      <c r="L22" s="20" t="n">
        <v>0.1</v>
      </c>
      <c r="M22" s="20" t="n">
        <v>0.1</v>
      </c>
      <c r="N22" s="20" t="n">
        <v>0.1</v>
      </c>
      <c r="O22" s="20" t="n">
        <v>0.1</v>
      </c>
      <c r="Q22" s="20" t="n">
        <v>0.1</v>
      </c>
      <c r="R22" s="20" t="n">
        <v>0.1</v>
      </c>
      <c r="S22" s="20" t="n">
        <v>0.1</v>
      </c>
      <c r="T22" s="20" t="n">
        <v>0.1</v>
      </c>
      <c r="W22" s="6" t="s">
        <v>81</v>
      </c>
    </row>
    <row r="23" customFormat="false" ht="15" hidden="false" customHeight="true" outlineLevel="0" collapsed="false">
      <c r="A23" s="12" t="s">
        <v>82</v>
      </c>
      <c r="H23" s="20" t="n">
        <v>0.2</v>
      </c>
      <c r="I23" s="20" t="n">
        <v>0.2</v>
      </c>
      <c r="J23" s="20" t="n">
        <v>0.2</v>
      </c>
      <c r="L23" s="20" t="n">
        <v>0.2</v>
      </c>
      <c r="M23" s="20" t="n">
        <v>0.2</v>
      </c>
      <c r="N23" s="20" t="n">
        <v>0.2</v>
      </c>
      <c r="O23" s="20" t="n">
        <v>0.2</v>
      </c>
      <c r="Q23" s="20" t="n">
        <v>0.2</v>
      </c>
      <c r="R23" s="20" t="n">
        <v>0.2</v>
      </c>
      <c r="S23" s="20" t="n">
        <v>0.2</v>
      </c>
      <c r="T23" s="20" t="n">
        <v>0.2</v>
      </c>
      <c r="W23" s="6" t="s">
        <v>83</v>
      </c>
    </row>
    <row r="24" customFormat="false" ht="15" hidden="false" customHeight="true" outlineLevel="0" collapsed="false">
      <c r="A24" s="12" t="s">
        <v>84</v>
      </c>
      <c r="H24" s="16" t="n">
        <v>0.02</v>
      </c>
      <c r="I24" s="16" t="n">
        <v>0.02</v>
      </c>
      <c r="J24" s="16" t="n">
        <v>0.02</v>
      </c>
      <c r="L24" s="16" t="n">
        <v>0.02</v>
      </c>
      <c r="M24" s="16" t="n">
        <v>0.02</v>
      </c>
      <c r="N24" s="16" t="n">
        <v>0.02</v>
      </c>
      <c r="O24" s="16" t="n">
        <v>0.02</v>
      </c>
      <c r="Q24" s="16" t="n">
        <v>0.02</v>
      </c>
      <c r="R24" s="16" t="n">
        <v>0.02</v>
      </c>
      <c r="S24" s="16" t="n">
        <v>0.02</v>
      </c>
      <c r="T24" s="16" t="n">
        <v>0.02</v>
      </c>
      <c r="W24" s="6" t="s">
        <v>85</v>
      </c>
    </row>
    <row r="25" customFormat="false" ht="15" hidden="false" customHeight="true" outlineLevel="0" collapsed="false">
      <c r="A25" s="12" t="s">
        <v>86</v>
      </c>
      <c r="H25" s="17" t="n">
        <v>150</v>
      </c>
      <c r="I25" s="17" t="n">
        <v>150</v>
      </c>
      <c r="J25" s="17" t="n">
        <v>150</v>
      </c>
      <c r="L25" s="17" t="n">
        <v>150</v>
      </c>
      <c r="M25" s="17" t="n">
        <v>150</v>
      </c>
      <c r="N25" s="17" t="n">
        <v>150</v>
      </c>
      <c r="O25" s="17" t="n">
        <v>150</v>
      </c>
      <c r="Q25" s="17" t="n">
        <v>150</v>
      </c>
      <c r="R25" s="17" t="n">
        <v>150</v>
      </c>
      <c r="S25" s="17" t="n">
        <v>150</v>
      </c>
      <c r="T25" s="17" t="n">
        <v>150</v>
      </c>
      <c r="W25" s="6"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1" min="2" style="1" width="10"/>
    <col collapsed="false" customWidth="true" hidden="false" outlineLevel="0" max="23" min="23" style="1" width="100"/>
  </cols>
  <sheetData>
    <row r="1" customFormat="false" ht="17.25" hidden="false" customHeight="true" outlineLevel="0" collapsed="false">
      <c r="A1" s="2" t="s">
        <v>88</v>
      </c>
    </row>
    <row r="2" customFormat="false" ht="15" hidden="false" customHeight="true" outlineLevel="0" collapsed="false">
      <c r="A2" s="6" t="s">
        <v>89</v>
      </c>
    </row>
    <row r="4" customFormat="false" ht="15" hidden="false" customHeight="true" outlineLevel="0" collapsed="false">
      <c r="A4" s="21" t="s">
        <v>90</v>
      </c>
      <c r="B4" s="8" t="s">
        <v>34</v>
      </c>
      <c r="C4" s="8" t="s">
        <v>35</v>
      </c>
      <c r="D4" s="8" t="s">
        <v>36</v>
      </c>
      <c r="E4" s="8" t="s">
        <v>37</v>
      </c>
      <c r="F4" s="9" t="s">
        <v>38</v>
      </c>
      <c r="G4" s="8" t="s">
        <v>39</v>
      </c>
      <c r="H4" s="8" t="s">
        <v>40</v>
      </c>
      <c r="I4" s="8" t="s">
        <v>41</v>
      </c>
      <c r="J4" s="8" t="s">
        <v>42</v>
      </c>
      <c r="K4" s="9" t="s">
        <v>43</v>
      </c>
      <c r="L4" s="8" t="s">
        <v>44</v>
      </c>
      <c r="M4" s="8" t="s">
        <v>45</v>
      </c>
      <c r="N4" s="8" t="s">
        <v>46</v>
      </c>
      <c r="O4" s="8" t="s">
        <v>47</v>
      </c>
      <c r="P4" s="9" t="s">
        <v>48</v>
      </c>
      <c r="Q4" s="8" t="s">
        <v>49</v>
      </c>
      <c r="R4" s="8" t="s">
        <v>50</v>
      </c>
      <c r="S4" s="8" t="s">
        <v>51</v>
      </c>
      <c r="T4" s="8" t="s">
        <v>52</v>
      </c>
      <c r="U4" s="9" t="s">
        <v>53</v>
      </c>
    </row>
    <row r="6" customFormat="false" ht="15" hidden="false" customHeight="true" outlineLevel="0" collapsed="false">
      <c r="A6" s="10" t="s">
        <v>91</v>
      </c>
      <c r="B6" s="11"/>
      <c r="C6" s="11"/>
      <c r="D6" s="11"/>
      <c r="E6" s="11"/>
      <c r="F6" s="11"/>
      <c r="G6" s="11"/>
      <c r="H6" s="11"/>
      <c r="I6" s="11"/>
      <c r="J6" s="11"/>
      <c r="K6" s="11"/>
      <c r="L6" s="11"/>
      <c r="M6" s="11"/>
      <c r="N6" s="11"/>
      <c r="O6" s="11"/>
      <c r="P6" s="11"/>
      <c r="Q6" s="11"/>
      <c r="R6" s="11"/>
      <c r="S6" s="11"/>
      <c r="T6" s="11"/>
      <c r="U6" s="11"/>
    </row>
    <row r="7" customFormat="false" ht="15" hidden="false" customHeight="true" outlineLevel="0" collapsed="false">
      <c r="A7" s="22" t="s">
        <v>92</v>
      </c>
      <c r="B7" s="23" t="n">
        <v>2</v>
      </c>
      <c r="C7" s="23" t="n">
        <v>2.0045</v>
      </c>
      <c r="D7" s="23" t="n">
        <v>2.18</v>
      </c>
      <c r="E7" s="23" t="n">
        <v>2.2155</v>
      </c>
      <c r="F7" s="24" t="n">
        <f aca="false">SUM(B7:E7)</f>
        <v>8.4</v>
      </c>
      <c r="G7" s="23" t="n">
        <v>2.5</v>
      </c>
      <c r="H7" s="25" t="n">
        <f aca="false">C7*(1+H9)</f>
        <v>2.24504</v>
      </c>
      <c r="I7" s="25" t="n">
        <f aca="false">D7*(1+I9)</f>
        <v>2.4416</v>
      </c>
      <c r="J7" s="25" t="n">
        <f aca="false">E7*(1+J9)</f>
        <v>2.48136</v>
      </c>
      <c r="K7" s="24" t="n">
        <f aca="false">SUM(G7:J7)</f>
        <v>9.668</v>
      </c>
      <c r="L7" s="25" t="n">
        <f aca="false">G7*(1+L9)</f>
        <v>2.8</v>
      </c>
      <c r="M7" s="25" t="n">
        <f aca="false">H7*(1+M9)</f>
        <v>2.5144448</v>
      </c>
      <c r="N7" s="25" t="n">
        <f aca="false">I7*(1+N9)</f>
        <v>2.734592</v>
      </c>
      <c r="O7" s="25" t="n">
        <f aca="false">J7*(1+O9)</f>
        <v>2.7791232</v>
      </c>
      <c r="P7" s="24" t="n">
        <f aca="false">SUM(L7:O7)</f>
        <v>10.82816</v>
      </c>
      <c r="Q7" s="25" t="n">
        <f aca="false">L7*(1+Q9)</f>
        <v>3.136</v>
      </c>
      <c r="R7" s="25" t="n">
        <f aca="false">M7*(1+R9)</f>
        <v>2.816178176</v>
      </c>
      <c r="S7" s="25" t="n">
        <f aca="false">N7*(1+S9)</f>
        <v>3.06274304</v>
      </c>
      <c r="T7" s="25" t="n">
        <f aca="false">O7*(1+T9)</f>
        <v>3.112617984</v>
      </c>
      <c r="U7" s="24" t="n">
        <f aca="false">SUM(Q7:T7)</f>
        <v>12.1275392</v>
      </c>
      <c r="W7" s="6" t="s">
        <v>93</v>
      </c>
    </row>
    <row r="8" customFormat="false" ht="15" hidden="false" customHeight="true" outlineLevel="0" collapsed="false">
      <c r="A8" s="22" t="s">
        <v>94</v>
      </c>
      <c r="B8" s="26" t="n">
        <v>13.7</v>
      </c>
      <c r="C8" s="26" t="n">
        <v>14.4875</v>
      </c>
      <c r="D8" s="26" t="n">
        <v>16.2</v>
      </c>
      <c r="E8" s="26" t="n">
        <v>16.0125</v>
      </c>
      <c r="F8" s="27" t="n">
        <f aca="false">SUM(B8:E8)</f>
        <v>60.4</v>
      </c>
      <c r="G8" s="26" t="n">
        <v>16.71</v>
      </c>
      <c r="H8" s="28" t="n">
        <f aca="false">C8*(1+H10)</f>
        <v>16.660625</v>
      </c>
      <c r="I8" s="28" t="n">
        <f aca="false">D8*(1+I10)</f>
        <v>18.63</v>
      </c>
      <c r="J8" s="28" t="n">
        <f aca="false">E8*(1+J10)</f>
        <v>18.414375</v>
      </c>
      <c r="K8" s="27" t="n">
        <f aca="false">SUM(G8:J8)</f>
        <v>70.415</v>
      </c>
      <c r="L8" s="28" t="n">
        <f aca="false">G8*(1+L10)</f>
        <v>19.2165</v>
      </c>
      <c r="M8" s="28" t="n">
        <f aca="false">H8*(1+M10)</f>
        <v>19.15971875</v>
      </c>
      <c r="N8" s="28" t="n">
        <f aca="false">I8*(1+N10)</f>
        <v>21.4245</v>
      </c>
      <c r="O8" s="28" t="n">
        <f aca="false">J8*(1+O10)</f>
        <v>21.17653125</v>
      </c>
      <c r="P8" s="27" t="n">
        <f aca="false">SUM(L8:O8)</f>
        <v>80.97725</v>
      </c>
      <c r="Q8" s="28" t="n">
        <f aca="false">L8*(1+Q10)</f>
        <v>22.098975</v>
      </c>
      <c r="R8" s="28" t="n">
        <f aca="false">M8*(1+R10)</f>
        <v>22.0336765625</v>
      </c>
      <c r="S8" s="28" t="n">
        <f aca="false">N8*(1+S10)</f>
        <v>24.638175</v>
      </c>
      <c r="T8" s="28" t="n">
        <f aca="false">O8*(1+T10)</f>
        <v>24.3530109375</v>
      </c>
      <c r="U8" s="27" t="n">
        <f aca="false">SUM(Q8:T8)</f>
        <v>93.1238375</v>
      </c>
      <c r="W8" s="6" t="s">
        <v>95</v>
      </c>
    </row>
    <row r="9" customFormat="false" ht="15" hidden="false" customHeight="true" outlineLevel="0" collapsed="false">
      <c r="A9" s="12" t="s">
        <v>96</v>
      </c>
      <c r="B9" s="29" t="n">
        <v>0.34</v>
      </c>
      <c r="C9" s="29" t="n">
        <v>0.15</v>
      </c>
      <c r="D9" s="29" t="n">
        <v>0.08</v>
      </c>
      <c r="G9" s="29" t="n">
        <v>0.28</v>
      </c>
      <c r="H9" s="16" t="n">
        <v>0.12</v>
      </c>
      <c r="I9" s="16" t="n">
        <v>0.12</v>
      </c>
      <c r="J9" s="16" t="n">
        <v>0.12</v>
      </c>
      <c r="L9" s="16" t="n">
        <v>0.12</v>
      </c>
      <c r="M9" s="16" t="n">
        <v>0.12</v>
      </c>
      <c r="N9" s="16" t="n">
        <v>0.12</v>
      </c>
      <c r="O9" s="16" t="n">
        <v>0.12</v>
      </c>
      <c r="Q9" s="16" t="n">
        <v>0.12</v>
      </c>
      <c r="R9" s="16" t="n">
        <v>0.12</v>
      </c>
      <c r="S9" s="16" t="n">
        <v>0.12</v>
      </c>
      <c r="T9" s="16" t="n">
        <v>0.12</v>
      </c>
      <c r="W9" s="6" t="s">
        <v>97</v>
      </c>
    </row>
    <row r="10" customFormat="false" ht="15" hidden="false" customHeight="true" outlineLevel="0" collapsed="false">
      <c r="A10" s="12" t="s">
        <v>98</v>
      </c>
      <c r="B10" s="29" t="n">
        <v>0.41</v>
      </c>
      <c r="D10" s="29" t="n">
        <v>0.27</v>
      </c>
      <c r="G10" s="29" t="n">
        <v>0.22</v>
      </c>
      <c r="H10" s="16" t="n">
        <v>0.15</v>
      </c>
      <c r="I10" s="16" t="n">
        <v>0.15</v>
      </c>
      <c r="J10" s="16" t="n">
        <v>0.15</v>
      </c>
      <c r="L10" s="16" t="n">
        <v>0.15</v>
      </c>
      <c r="M10" s="16" t="n">
        <v>0.15</v>
      </c>
      <c r="N10" s="16" t="n">
        <v>0.15</v>
      </c>
      <c r="O10" s="16" t="n">
        <v>0.15</v>
      </c>
      <c r="Q10" s="16" t="n">
        <v>0.15</v>
      </c>
      <c r="R10" s="16" t="n">
        <v>0.15</v>
      </c>
      <c r="S10" s="16" t="n">
        <v>0.15</v>
      </c>
      <c r="T10" s="16" t="n">
        <v>0.15</v>
      </c>
      <c r="W10" s="6" t="s">
        <v>99</v>
      </c>
    </row>
    <row r="11" customFormat="false" ht="15" hidden="false" customHeight="true" outlineLevel="0" collapsed="false">
      <c r="A11" s="22" t="s">
        <v>100</v>
      </c>
      <c r="F11" s="30" t="n">
        <v>300</v>
      </c>
      <c r="W11" s="6" t="s">
        <v>101</v>
      </c>
    </row>
    <row r="13" customFormat="false" ht="15" hidden="false" customHeight="true" outlineLevel="0" collapsed="false">
      <c r="A13" s="10" t="s">
        <v>102</v>
      </c>
      <c r="B13" s="11"/>
      <c r="C13" s="11"/>
      <c r="D13" s="11"/>
      <c r="E13" s="11"/>
      <c r="F13" s="11"/>
      <c r="G13" s="11"/>
      <c r="H13" s="11"/>
      <c r="I13" s="11"/>
      <c r="J13" s="11"/>
      <c r="K13" s="11"/>
      <c r="L13" s="11"/>
      <c r="M13" s="11"/>
      <c r="N13" s="11"/>
      <c r="O13" s="11"/>
      <c r="P13" s="11"/>
      <c r="Q13" s="11"/>
      <c r="R13" s="11"/>
      <c r="S13" s="11"/>
      <c r="T13" s="11"/>
      <c r="U13" s="11"/>
    </row>
    <row r="14" customFormat="false" ht="15" hidden="false" customHeight="true" outlineLevel="0" collapsed="false">
      <c r="A14" s="22" t="s">
        <v>103</v>
      </c>
      <c r="B14" s="31" t="n">
        <v>5044.517</v>
      </c>
      <c r="C14" s="31" t="n">
        <v>5192.224</v>
      </c>
      <c r="D14" s="31" t="n">
        <v>5844.267</v>
      </c>
      <c r="E14" s="31" t="n">
        <v>6085.659</v>
      </c>
      <c r="F14" s="32" t="n">
        <f aca="false">SUM(B14:E14)</f>
        <v>22166.667</v>
      </c>
      <c r="G14" s="31" t="n">
        <v>6305.646</v>
      </c>
      <c r="H14" s="33" t="n">
        <f aca="false">C14*(1+Assumptions!H8)</f>
        <v>5751.39756776675</v>
      </c>
      <c r="I14" s="33" t="n">
        <f aca="false">D14*(1+Assumptions!I8)</f>
        <v>6473.66196242294</v>
      </c>
      <c r="J14" s="33" t="n">
        <f aca="false">E14*(1+Assumptions!J8)</f>
        <v>6497.62417457976</v>
      </c>
      <c r="K14" s="32" t="n">
        <f aca="false">SUM(G14:J14)</f>
        <v>25028.3297047695</v>
      </c>
      <c r="L14" s="33" t="n">
        <f aca="false">G14*(1+Assumptions!L8)</f>
        <v>6810.09768</v>
      </c>
      <c r="M14" s="33" t="n">
        <f aca="false">H14*(1+Assumptions!M8)</f>
        <v>6211.50937318809</v>
      </c>
      <c r="N14" s="33" t="n">
        <f aca="false">I14*(1+Assumptions!N8)</f>
        <v>6991.55491941678</v>
      </c>
      <c r="O14" s="33" t="n">
        <f aca="false">J14*(1+Assumptions!O8)</f>
        <v>7017.43410854614</v>
      </c>
      <c r="P14" s="32" t="n">
        <f aca="false">SUM(L14:O14)</f>
        <v>27030.596081151</v>
      </c>
      <c r="Q14" s="33" t="n">
        <f aca="false">L14*(1+Assumptions!Q8)</f>
        <v>7354.9054944</v>
      </c>
      <c r="R14" s="33" t="n">
        <f aca="false">M14*(1+Assumptions!R8)</f>
        <v>6708.43012304314</v>
      </c>
      <c r="S14" s="33" t="n">
        <f aca="false">N14*(1+Assumptions!S8)</f>
        <v>7550.87931297012</v>
      </c>
      <c r="T14" s="33" t="n">
        <f aca="false">O14*(1+Assumptions!T8)</f>
        <v>7578.82883722983</v>
      </c>
      <c r="U14" s="32" t="n">
        <f aca="false">SUM(Q14:T14)</f>
        <v>29193.0437676431</v>
      </c>
      <c r="W14" s="6" t="s">
        <v>104</v>
      </c>
    </row>
    <row r="15" customFormat="false" ht="15" hidden="false" customHeight="true" outlineLevel="0" collapsed="false">
      <c r="A15" s="22" t="s">
        <v>105</v>
      </c>
      <c r="B15" s="31" t="n">
        <v>7878.694</v>
      </c>
      <c r="C15" s="31" t="n">
        <v>7045.03</v>
      </c>
      <c r="D15" s="31" t="n">
        <v>7351.4</v>
      </c>
      <c r="E15" s="31" t="n">
        <v>7600</v>
      </c>
      <c r="F15" s="32" t="n">
        <f aca="false">SUM(B15:E15)</f>
        <v>29875.124</v>
      </c>
      <c r="G15" s="31" t="n">
        <v>9690.794</v>
      </c>
      <c r="H15" s="33" t="n">
        <f aca="false">C15*(1+Assumptions!H8)</f>
        <v>7803.74044086769</v>
      </c>
      <c r="I15" s="33" t="n">
        <f aca="false">D15*(1+Assumptions!I8)</f>
        <v>8143.1047812422</v>
      </c>
      <c r="J15" s="33" t="n">
        <f aca="false">E15*(1+Assumptions!J8)</f>
        <v>8114.4776148</v>
      </c>
      <c r="K15" s="32" t="n">
        <f aca="false">SUM(G15:J15)</f>
        <v>33752.1168369099</v>
      </c>
      <c r="L15" s="33" t="n">
        <f aca="false">G15*(1+Assumptions!L8)</f>
        <v>10466.05752</v>
      </c>
      <c r="M15" s="33" t="n">
        <f aca="false">H15*(1+Assumptions!M8)</f>
        <v>8428.03967613711</v>
      </c>
      <c r="N15" s="33" t="n">
        <f aca="false">I15*(1+Assumptions!N8)</f>
        <v>8794.55316374158</v>
      </c>
      <c r="O15" s="33" t="n">
        <f aca="false">J15*(1+Assumptions!O8)</f>
        <v>8763.635823984</v>
      </c>
      <c r="P15" s="32" t="n">
        <f aca="false">SUM(L15:O15)</f>
        <v>36452.2861838627</v>
      </c>
      <c r="Q15" s="33" t="n">
        <f aca="false">L15*(1+Assumptions!Q8)</f>
        <v>11303.3421216</v>
      </c>
      <c r="R15" s="33" t="n">
        <f aca="false">M15*(1+Assumptions!R8)</f>
        <v>9102.28285022808</v>
      </c>
      <c r="S15" s="33" t="n">
        <f aca="false">N15*(1+Assumptions!S8)</f>
        <v>9498.1174168409</v>
      </c>
      <c r="T15" s="33" t="n">
        <f aca="false">O15*(1+Assumptions!T8)</f>
        <v>9464.72668990272</v>
      </c>
      <c r="U15" s="32" t="n">
        <f aca="false">SUM(Q15:T15)</f>
        <v>39368.4690785717</v>
      </c>
      <c r="W15" s="6" t="s">
        <v>106</v>
      </c>
    </row>
    <row r="16" customFormat="false" ht="15" hidden="false" customHeight="true" outlineLevel="0" collapsed="false">
      <c r="A16" s="22" t="s">
        <v>107</v>
      </c>
      <c r="B16" s="31" t="n">
        <v>5732.867</v>
      </c>
      <c r="C16" s="31" t="n">
        <v>5297.198</v>
      </c>
      <c r="D16" s="31" t="n">
        <v>5885.582</v>
      </c>
      <c r="E16" s="31" t="n">
        <v>6305.495</v>
      </c>
      <c r="F16" s="32" t="n">
        <f aca="false">SUM(B16:E16)</f>
        <v>23221.142</v>
      </c>
      <c r="G16" s="31" t="n">
        <v>6822.112</v>
      </c>
      <c r="H16" s="33" t="n">
        <f aca="false">C16*(1+Assumptions!H8)</f>
        <v>5867.67668212676</v>
      </c>
      <c r="I16" s="33" t="n">
        <f aca="false">D16*(1+Assumptions!I8)</f>
        <v>6519.42635750919</v>
      </c>
      <c r="J16" s="33" t="n">
        <f aca="false">E16*(1+Assumptions!J8)</f>
        <v>6732.34184575439</v>
      </c>
      <c r="K16" s="32" t="n">
        <f aca="false">SUM(G16:J16)</f>
        <v>25941.5568853903</v>
      </c>
      <c r="L16" s="33" t="n">
        <f aca="false">G16*(1+Assumptions!L8)</f>
        <v>7367.88096</v>
      </c>
      <c r="M16" s="33" t="n">
        <f aca="false">H16*(1+Assumptions!M8)</f>
        <v>6337.0908166969</v>
      </c>
      <c r="N16" s="33" t="n">
        <f aca="false">I16*(1+Assumptions!N8)</f>
        <v>7040.98046610992</v>
      </c>
      <c r="O16" s="33" t="n">
        <f aca="false">J16*(1+Assumptions!O8)</f>
        <v>7270.92919341474</v>
      </c>
      <c r="P16" s="32" t="n">
        <f aca="false">SUM(L16:O16)</f>
        <v>28016.8814362216</v>
      </c>
      <c r="Q16" s="33" t="n">
        <f aca="false">L16*(1+Assumptions!Q8)</f>
        <v>7957.3114368</v>
      </c>
      <c r="R16" s="33" t="n">
        <f aca="false">M16*(1+Assumptions!R8)</f>
        <v>6844.05808203265</v>
      </c>
      <c r="S16" s="33" t="n">
        <f aca="false">N16*(1+Assumptions!S8)</f>
        <v>7604.25890339872</v>
      </c>
      <c r="T16" s="33" t="n">
        <f aca="false">O16*(1+Assumptions!T8)</f>
        <v>7852.60352888792</v>
      </c>
      <c r="U16" s="32" t="n">
        <f aca="false">SUM(Q16:T16)</f>
        <v>30258.2319511193</v>
      </c>
      <c r="W16" s="6" t="s">
        <v>108</v>
      </c>
    </row>
    <row r="17" customFormat="false" ht="15" hidden="false" customHeight="true" outlineLevel="0" collapsed="false">
      <c r="A17" s="22" t="s">
        <v>109</v>
      </c>
      <c r="B17" s="31" t="n">
        <v>2907.451</v>
      </c>
      <c r="C17" s="31" t="n">
        <v>2014.874</v>
      </c>
      <c r="D17" s="31" t="n">
        <v>1641.695</v>
      </c>
      <c r="E17" s="31" t="n">
        <v>1758.824</v>
      </c>
      <c r="F17" s="32" t="n">
        <f aca="false">SUM(B17:E17)</f>
        <v>8322.844</v>
      </c>
      <c r="G17" s="31" t="n">
        <v>2384.11</v>
      </c>
      <c r="H17" s="33" t="n">
        <f aca="false">C17*(1+Assumptions!H8)</f>
        <v>2231.8646928477</v>
      </c>
      <c r="I17" s="33" t="n">
        <f aca="false">D17*(1+Assumptions!I8)</f>
        <v>1818.49639576699</v>
      </c>
      <c r="J17" s="33" t="n">
        <f aca="false">E17*(1+Assumptions!J8)</f>
        <v>1877.88657583855</v>
      </c>
      <c r="K17" s="32" t="n">
        <f aca="false">SUM(G17:J17)</f>
        <v>8312.35766445324</v>
      </c>
      <c r="L17" s="33" t="n">
        <f aca="false">G17*(1+Assumptions!L8)</f>
        <v>2574.8388</v>
      </c>
      <c r="M17" s="33" t="n">
        <f aca="false">H17*(1+Assumptions!M8)</f>
        <v>2410.41386827552</v>
      </c>
      <c r="N17" s="33" t="n">
        <f aca="false">I17*(1+Assumptions!N8)</f>
        <v>1963.97610742834</v>
      </c>
      <c r="O17" s="33" t="n">
        <f aca="false">J17*(1+Assumptions!O8)</f>
        <v>2028.11750190564</v>
      </c>
      <c r="P17" s="32" t="n">
        <f aca="false">SUM(L17:O17)</f>
        <v>8977.3462776095</v>
      </c>
      <c r="Q17" s="33" t="n">
        <f aca="false">L17*(1+Assumptions!Q8)</f>
        <v>2780.825904</v>
      </c>
      <c r="R17" s="33" t="n">
        <f aca="false">M17*(1+Assumptions!R8)</f>
        <v>2603.24697773756</v>
      </c>
      <c r="S17" s="33" t="n">
        <f aca="false">N17*(1+Assumptions!S8)</f>
        <v>2121.09419602261</v>
      </c>
      <c r="T17" s="33" t="n">
        <f aca="false">O17*(1+Assumptions!T8)</f>
        <v>2190.36690205809</v>
      </c>
      <c r="U17" s="32" t="n">
        <f aca="false">SUM(Q17:T17)</f>
        <v>9695.53397981826</v>
      </c>
      <c r="W17" s="6" t="s">
        <v>110</v>
      </c>
    </row>
    <row r="18" customFormat="false" ht="15" hidden="false" customHeight="true" outlineLevel="0" collapsed="false">
      <c r="A18" s="6" t="s">
        <v>111</v>
      </c>
    </row>
    <row r="19" customFormat="false" ht="15" hidden="false" customHeight="true" outlineLevel="0" collapsed="false">
      <c r="A19" s="22" t="s">
        <v>112</v>
      </c>
      <c r="B19" s="34" t="n">
        <v>224.129</v>
      </c>
      <c r="C19" s="34" t="n">
        <v>207.096</v>
      </c>
      <c r="D19" s="34" t="n">
        <v>230.099</v>
      </c>
      <c r="E19" s="34" t="n">
        <v>246.516</v>
      </c>
      <c r="F19" s="35" t="n">
        <f aca="false">SUM(B19:E19)</f>
        <v>907.84</v>
      </c>
      <c r="G19" s="34" t="n">
        <v>132.365</v>
      </c>
      <c r="H19" s="36" t="n">
        <f aca="false">C19*(1+Assumptions!H8)</f>
        <v>229.399084225608</v>
      </c>
      <c r="I19" s="36" t="n">
        <f aca="false">D19*(1+Assumptions!I8)</f>
        <v>254.879379037877</v>
      </c>
      <c r="J19" s="36" t="n">
        <f aca="false">E19*(1+Assumptions!J8)</f>
        <v>263.203758380268</v>
      </c>
      <c r="K19" s="35" t="n">
        <f aca="false">SUM(G19:J19)</f>
        <v>879.847221643753</v>
      </c>
      <c r="L19" s="36" t="n">
        <f aca="false">G19*(1+Assumptions!L8)</f>
        <v>142.9542</v>
      </c>
      <c r="M19" s="36" t="n">
        <f aca="false">H19*(1+Assumptions!M8)</f>
        <v>247.751010963657</v>
      </c>
      <c r="N19" s="36" t="n">
        <f aca="false">I19*(1+Assumptions!N8)</f>
        <v>275.269729360907</v>
      </c>
      <c r="O19" s="36" t="n">
        <f aca="false">J19*(1+Assumptions!O8)</f>
        <v>284.26005905069</v>
      </c>
      <c r="P19" s="35" t="n">
        <f aca="false">SUM(L19:O19)</f>
        <v>950.234999375253</v>
      </c>
      <c r="Q19" s="36" t="n">
        <f aca="false">L19*(1+Assumptions!Q8)</f>
        <v>154.390536</v>
      </c>
      <c r="R19" s="36" t="n">
        <f aca="false">M19*(1+Assumptions!R8)</f>
        <v>267.571091840749</v>
      </c>
      <c r="S19" s="36" t="n">
        <f aca="false">N19*(1+Assumptions!S8)</f>
        <v>297.29130770978</v>
      </c>
      <c r="T19" s="36" t="n">
        <f aca="false">O19*(1+Assumptions!T8)</f>
        <v>307.000863774745</v>
      </c>
      <c r="U19" s="35" t="n">
        <f aca="false">SUM(Q19:T19)</f>
        <v>1026.25379932527</v>
      </c>
      <c r="W19" s="1" t="s">
        <v>113</v>
      </c>
    </row>
    <row r="20" customFormat="false" ht="15" hidden="false" customHeight="true" outlineLevel="0" collapsed="false">
      <c r="A20" s="22" t="s">
        <v>114</v>
      </c>
      <c r="B20" s="34" t="n">
        <v>182.661</v>
      </c>
      <c r="C20" s="34" t="n">
        <v>168.78</v>
      </c>
      <c r="D20" s="34" t="n">
        <v>187.527</v>
      </c>
      <c r="E20" s="34" t="n">
        <v>200.906</v>
      </c>
      <c r="F20" s="35" t="n">
        <f aca="false">SUM(B20:E20)</f>
        <v>739.874</v>
      </c>
      <c r="G20" s="34" t="n">
        <v>107.875</v>
      </c>
      <c r="H20" s="36" t="n">
        <f aca="false">C20*(1+Assumptions!H8)</f>
        <v>186.95666471394</v>
      </c>
      <c r="I20" s="36" t="n">
        <f aca="false">D20*(1+Assumptions!I8)</f>
        <v>207.722612061921</v>
      </c>
      <c r="J20" s="36" t="n">
        <f aca="false">E20*(1+Assumptions!J8)</f>
        <v>214.506215747238</v>
      </c>
      <c r="K20" s="35" t="n">
        <f aca="false">SUM(G20:J20)</f>
        <v>717.060492523099</v>
      </c>
      <c r="L20" s="36" t="n">
        <f aca="false">G20*(1+Assumptions!L8)</f>
        <v>116.505</v>
      </c>
      <c r="M20" s="36" t="n">
        <f aca="false">H20*(1+Assumptions!M8)</f>
        <v>201.913197891055</v>
      </c>
      <c r="N20" s="36" t="n">
        <f aca="false">I20*(1+Assumptions!N8)</f>
        <v>224.340421026875</v>
      </c>
      <c r="O20" s="36" t="n">
        <f aca="false">J20*(1+Assumptions!O8)</f>
        <v>231.666713007017</v>
      </c>
      <c r="P20" s="35" t="n">
        <f aca="false">SUM(L20:O20)</f>
        <v>774.425331924947</v>
      </c>
      <c r="Q20" s="36" t="n">
        <f aca="false">L20*(1+Assumptions!Q8)</f>
        <v>125.8254</v>
      </c>
      <c r="R20" s="36" t="n">
        <f aca="false">M20*(1+Assumptions!R8)</f>
        <v>218.06625372234</v>
      </c>
      <c r="S20" s="36" t="n">
        <f aca="false">N20*(1+Assumptions!S8)</f>
        <v>242.287654709025</v>
      </c>
      <c r="T20" s="36" t="n">
        <f aca="false">O20*(1+Assumptions!T8)</f>
        <v>250.200050047578</v>
      </c>
      <c r="U20" s="35" t="n">
        <f aca="false">SUM(Q20:T20)</f>
        <v>836.379358478943</v>
      </c>
    </row>
    <row r="21" customFormat="false" ht="15" hidden="false" customHeight="true" outlineLevel="0" collapsed="false">
      <c r="A21" s="22" t="s">
        <v>115</v>
      </c>
      <c r="B21" s="34" t="n">
        <v>38.731</v>
      </c>
      <c r="C21" s="34" t="n">
        <v>35.788</v>
      </c>
      <c r="D21" s="34" t="n">
        <v>39.763</v>
      </c>
      <c r="E21" s="34" t="n">
        <v>42.6</v>
      </c>
      <c r="F21" s="35" t="n">
        <f aca="false">SUM(B21:E21)</f>
        <v>156.882</v>
      </c>
      <c r="G21" s="34" t="n">
        <v>22.874</v>
      </c>
      <c r="H21" s="36" t="n">
        <f aca="false">C21*(1+Assumptions!H8)</f>
        <v>39.642168010324</v>
      </c>
      <c r="I21" s="36" t="n">
        <f aca="false">D21*(1+Assumptions!I8)</f>
        <v>44.045253341749</v>
      </c>
      <c r="J21" s="36" t="n">
        <f aca="false">E21*(1+Assumptions!J8)</f>
        <v>45.4837824198</v>
      </c>
      <c r="K21" s="35" t="n">
        <f aca="false">SUM(G21:J21)</f>
        <v>152.045203771873</v>
      </c>
      <c r="L21" s="36" t="n">
        <f aca="false">G21*(1+Assumptions!L8)</f>
        <v>24.70392</v>
      </c>
      <c r="M21" s="36" t="n">
        <f aca="false">H21*(1+Assumptions!M8)</f>
        <v>42.8135414511499</v>
      </c>
      <c r="N21" s="36" t="n">
        <f aca="false">I21*(1+Assumptions!N8)</f>
        <v>47.5688736090889</v>
      </c>
      <c r="O21" s="36" t="n">
        <f aca="false">J21*(1+Assumptions!O8)</f>
        <v>49.122485013384</v>
      </c>
      <c r="P21" s="35" t="n">
        <f aca="false">SUM(L21:O21)</f>
        <v>164.208820073623</v>
      </c>
      <c r="Q21" s="36" t="n">
        <f aca="false">L21*(1+Assumptions!Q8)</f>
        <v>26.6802336</v>
      </c>
      <c r="R21" s="36" t="n">
        <f aca="false">M21*(1+Assumptions!R8)</f>
        <v>46.2386247672419</v>
      </c>
      <c r="S21" s="36" t="n">
        <f aca="false">N21*(1+Assumptions!S8)</f>
        <v>51.374383497816</v>
      </c>
      <c r="T21" s="36" t="n">
        <f aca="false">O21*(1+Assumptions!T8)</f>
        <v>53.0522838144547</v>
      </c>
      <c r="U21" s="35" t="n">
        <f aca="false">SUM(Q21:T21)</f>
        <v>177.345525679513</v>
      </c>
      <c r="W21" s="6" t="s">
        <v>116</v>
      </c>
    </row>
    <row r="22" customFormat="false" ht="15" hidden="false" customHeight="true" outlineLevel="0" collapsed="false">
      <c r="A22" s="37" t="s">
        <v>117</v>
      </c>
      <c r="B22" s="38" t="n">
        <f aca="false">SUM(B14:B21)</f>
        <v>22009.05</v>
      </c>
      <c r="C22" s="38" t="n">
        <f aca="false">SUM(C14:C21)</f>
        <v>19960.99</v>
      </c>
      <c r="D22" s="38" t="n">
        <f aca="false">SUM(D14:D21)</f>
        <v>21180.333</v>
      </c>
      <c r="E22" s="38" t="n">
        <f aca="false">SUM(E14:E21)</f>
        <v>22240</v>
      </c>
      <c r="F22" s="39" t="n">
        <f aca="false">SUM(B22:E22)</f>
        <v>85390.373</v>
      </c>
      <c r="G22" s="38" t="n">
        <f aca="false">SUM(G14:G21)</f>
        <v>25465.776</v>
      </c>
      <c r="H22" s="40" t="n">
        <f aca="false">SUM(H14:H21)</f>
        <v>22110.6773005588</v>
      </c>
      <c r="I22" s="40" t="n">
        <f aca="false">SUM(I14:I21)</f>
        <v>23461.3367413829</v>
      </c>
      <c r="J22" s="40" t="n">
        <f aca="false">SUM(J14:J21)</f>
        <v>23745.52396752</v>
      </c>
      <c r="K22" s="39" t="n">
        <f aca="false">SUM(G22:J22)</f>
        <v>94783.3140094616</v>
      </c>
      <c r="L22" s="40" t="n">
        <f aca="false">SUM(L14:L21)</f>
        <v>27503.03808</v>
      </c>
      <c r="M22" s="40" t="n">
        <f aca="false">SUM(M14:M21)</f>
        <v>23879.5314846035</v>
      </c>
      <c r="N22" s="40" t="n">
        <f aca="false">SUM(N14:N21)</f>
        <v>25338.2436806935</v>
      </c>
      <c r="O22" s="40" t="n">
        <f aca="false">SUM(O14:O21)</f>
        <v>25645.1658849216</v>
      </c>
      <c r="P22" s="39" t="n">
        <f aca="false">SUM(L22:O22)</f>
        <v>102365.979130219</v>
      </c>
      <c r="Q22" s="40" t="n">
        <f aca="false">SUM(Q14:Q21)</f>
        <v>29703.2811264</v>
      </c>
      <c r="R22" s="40" t="n">
        <f aca="false">SUM(R14:R21)</f>
        <v>25789.8940033718</v>
      </c>
      <c r="S22" s="40" t="n">
        <f aca="false">SUM(S14:S21)</f>
        <v>27365.303175149</v>
      </c>
      <c r="T22" s="40" t="n">
        <f aca="false">SUM(T14:T21)</f>
        <v>27696.7791557153</v>
      </c>
      <c r="U22" s="39" t="n">
        <f aca="false">SUM(Q22:T22)</f>
        <v>110555.257460636</v>
      </c>
    </row>
    <row r="23" customFormat="false" ht="15" hidden="false" customHeight="true" outlineLevel="0" collapsed="false">
      <c r="A23" s="6" t="s">
        <v>118</v>
      </c>
      <c r="G23" s="41" t="n">
        <f aca="false">G22/B22-1</f>
        <v>0.157059300605887</v>
      </c>
      <c r="H23" s="41" t="n">
        <f aca="false">H22/C22-1</f>
        <v>0.107694423</v>
      </c>
      <c r="I23" s="41" t="n">
        <f aca="false">I22/D22-1</f>
        <v>0.107694423</v>
      </c>
      <c r="J23" s="41" t="n">
        <f aca="false">J22/E22-1</f>
        <v>0.0676944230000001</v>
      </c>
      <c r="K23" s="42" t="n">
        <f aca="false">K22/F22-1</f>
        <v>0.109999999759477</v>
      </c>
      <c r="L23" s="41" t="n">
        <f aca="false">L22/G22-1</f>
        <v>0.0800000000000001</v>
      </c>
      <c r="M23" s="41" t="n">
        <f aca="false">M22/H22-1</f>
        <v>0.0800000000000001</v>
      </c>
      <c r="N23" s="41" t="n">
        <f aca="false">N22/I22-1</f>
        <v>0.0800000000000001</v>
      </c>
      <c r="O23" s="41" t="n">
        <f aca="false">O22/J22-1</f>
        <v>0.0800000000000003</v>
      </c>
      <c r="P23" s="42" t="n">
        <f aca="false">P22/K22-1</f>
        <v>0.0800000000000003</v>
      </c>
      <c r="Q23" s="41" t="n">
        <f aca="false">Q22/L22-1</f>
        <v>0.0799999999999999</v>
      </c>
      <c r="R23" s="41" t="n">
        <f aca="false">R22/M22-1</f>
        <v>0.0800000000000001</v>
      </c>
      <c r="S23" s="41" t="n">
        <f aca="false">S22/N22-1</f>
        <v>0.0800000000000001</v>
      </c>
      <c r="T23" s="41" t="n">
        <f aca="false">T22/O22-1</f>
        <v>0.0800000000000001</v>
      </c>
      <c r="U23" s="42" t="n">
        <f aca="false">U22/P22-1</f>
        <v>0.0799999999999999</v>
      </c>
    </row>
    <row r="25" customFormat="false" ht="15" hidden="false" customHeight="true" outlineLevel="0" collapsed="false">
      <c r="A25" s="10" t="s">
        <v>119</v>
      </c>
      <c r="B25" s="11"/>
      <c r="C25" s="11"/>
      <c r="D25" s="11"/>
      <c r="E25" s="11"/>
      <c r="F25" s="11"/>
      <c r="G25" s="11"/>
      <c r="H25" s="11"/>
      <c r="I25" s="11"/>
      <c r="J25" s="11"/>
      <c r="K25" s="11"/>
      <c r="L25" s="11"/>
      <c r="M25" s="11"/>
      <c r="N25" s="11"/>
      <c r="O25" s="11"/>
      <c r="P25" s="11"/>
      <c r="Q25" s="11"/>
      <c r="R25" s="11"/>
      <c r="S25" s="11"/>
      <c r="T25" s="11"/>
      <c r="U25" s="11"/>
    </row>
    <row r="26" customFormat="false" ht="15" hidden="false" customHeight="true" outlineLevel="0" collapsed="false">
      <c r="A26" s="6" t="s">
        <v>120</v>
      </c>
      <c r="B26" s="41" t="n">
        <f aca="false">B14/B22</f>
        <v>0.229201941928434</v>
      </c>
      <c r="C26" s="41" t="n">
        <f aca="false">C14/C22</f>
        <v>0.260118561253725</v>
      </c>
      <c r="D26" s="41" t="n">
        <f aca="false">D14/D22</f>
        <v>0.275928947859318</v>
      </c>
      <c r="E26" s="41" t="n">
        <f aca="false">E14/E22</f>
        <v>0.273635746402878</v>
      </c>
      <c r="F26" s="42" t="n">
        <f aca="false">F14/F22</f>
        <v>0.259592108820042</v>
      </c>
      <c r="G26" s="41" t="n">
        <f aca="false">G14/G22</f>
        <v>0.247612560481173</v>
      </c>
      <c r="H26" s="41" t="n">
        <f aca="false">H14/H22</f>
        <v>0.260118561253725</v>
      </c>
      <c r="I26" s="41" t="n">
        <f aca="false">I14/I22</f>
        <v>0.275928947859318</v>
      </c>
      <c r="J26" s="41" t="n">
        <f aca="false">J14/J22</f>
        <v>0.273635746402878</v>
      </c>
      <c r="K26" s="42" t="n">
        <f aca="false">K14/K22</f>
        <v>0.264058394310533</v>
      </c>
      <c r="L26" s="41" t="n">
        <f aca="false">L14/L22</f>
        <v>0.247612560481173</v>
      </c>
      <c r="M26" s="41" t="n">
        <f aca="false">M14/M22</f>
        <v>0.260118561253725</v>
      </c>
      <c r="N26" s="41" t="n">
        <f aca="false">N14/N22</f>
        <v>0.275928947859318</v>
      </c>
      <c r="O26" s="41" t="n">
        <f aca="false">O14/O22</f>
        <v>0.273635746402878</v>
      </c>
      <c r="P26" s="42" t="n">
        <f aca="false">P14/P22</f>
        <v>0.264058394310533</v>
      </c>
      <c r="Q26" s="41" t="n">
        <f aca="false">Q14/Q22</f>
        <v>0.247612560481173</v>
      </c>
      <c r="R26" s="41" t="n">
        <f aca="false">R14/R22</f>
        <v>0.260118561253725</v>
      </c>
      <c r="S26" s="41" t="n">
        <f aca="false">S14/S22</f>
        <v>0.275928947859318</v>
      </c>
      <c r="T26" s="41" t="n">
        <f aca="false">T14/T22</f>
        <v>0.273635746402878</v>
      </c>
      <c r="U26" s="42" t="n">
        <f aca="false">U14/U22</f>
        <v>0.264058394310533</v>
      </c>
    </row>
    <row r="27" customFormat="false" ht="15" hidden="false" customHeight="true" outlineLevel="0" collapsed="false">
      <c r="A27" s="6" t="s">
        <v>121</v>
      </c>
      <c r="B27" s="41" t="n">
        <f aca="false">B15/B22</f>
        <v>0.357975196566867</v>
      </c>
      <c r="C27" s="41" t="n">
        <f aca="false">C15/C22</f>
        <v>0.352939909293076</v>
      </c>
      <c r="D27" s="41" t="n">
        <f aca="false">D15/D22</f>
        <v>0.347086138825107</v>
      </c>
      <c r="E27" s="41" t="n">
        <f aca="false">E15/E22</f>
        <v>0.341726618705036</v>
      </c>
      <c r="F27" s="42" t="n">
        <f aca="false">F15/F22</f>
        <v>0.349865247690158</v>
      </c>
      <c r="G27" s="41" t="n">
        <f aca="false">G15/G22</f>
        <v>0.380541869213017</v>
      </c>
      <c r="H27" s="41" t="n">
        <f aca="false">H15/H22</f>
        <v>0.352939909293076</v>
      </c>
      <c r="I27" s="41" t="n">
        <f aca="false">I15/I22</f>
        <v>0.347086138825107</v>
      </c>
      <c r="J27" s="41" t="n">
        <f aca="false">J15/J22</f>
        <v>0.341726618705036</v>
      </c>
      <c r="K27" s="42" t="n">
        <f aca="false">K15/K22</f>
        <v>0.356097665392251</v>
      </c>
      <c r="L27" s="41" t="n">
        <f aca="false">L15/L22</f>
        <v>0.380541869213017</v>
      </c>
      <c r="M27" s="41" t="n">
        <f aca="false">M15/M22</f>
        <v>0.352939909293076</v>
      </c>
      <c r="N27" s="41" t="n">
        <f aca="false">N15/N22</f>
        <v>0.347086138825107</v>
      </c>
      <c r="O27" s="41" t="n">
        <f aca="false">O15/O22</f>
        <v>0.341726618705036</v>
      </c>
      <c r="P27" s="42" t="n">
        <f aca="false">P15/P22</f>
        <v>0.356097665392251</v>
      </c>
      <c r="Q27" s="41" t="n">
        <f aca="false">Q15/Q22</f>
        <v>0.380541869213018</v>
      </c>
      <c r="R27" s="41" t="n">
        <f aca="false">R15/R22</f>
        <v>0.352939909293076</v>
      </c>
      <c r="S27" s="41" t="n">
        <f aca="false">S15/S22</f>
        <v>0.347086138825107</v>
      </c>
      <c r="T27" s="41" t="n">
        <f aca="false">T15/T22</f>
        <v>0.341726618705036</v>
      </c>
      <c r="U27" s="42" t="n">
        <f aca="false">U15/U22</f>
        <v>0.356097665392251</v>
      </c>
    </row>
    <row r="28" customFormat="false" ht="15" hidden="false" customHeight="true" outlineLevel="0" collapsed="false">
      <c r="A28" s="6" t="s">
        <v>122</v>
      </c>
      <c r="B28" s="41" t="n">
        <f aca="false">B16/B22</f>
        <v>0.260477712577326</v>
      </c>
      <c r="C28" s="41" t="n">
        <f aca="false">C16/C22</f>
        <v>0.265377518850518</v>
      </c>
      <c r="D28" s="41" t="n">
        <f aca="false">D16/D22</f>
        <v>0.277879578191712</v>
      </c>
      <c r="E28" s="41" t="n">
        <f aca="false">E16/E22</f>
        <v>0.283520458633094</v>
      </c>
      <c r="F28" s="42" t="n">
        <f aca="false">F16/F22</f>
        <v>0.271940983323729</v>
      </c>
      <c r="G28" s="41" t="n">
        <f aca="false">G16/G22</f>
        <v>0.267893348311868</v>
      </c>
      <c r="H28" s="41" t="n">
        <f aca="false">H16/H22</f>
        <v>0.265377518850518</v>
      </c>
      <c r="I28" s="41" t="n">
        <f aca="false">I16/I22</f>
        <v>0.277879578191712</v>
      </c>
      <c r="J28" s="41" t="n">
        <f aca="false">J16/J22</f>
        <v>0.283520458633094</v>
      </c>
      <c r="K28" s="42" t="n">
        <f aca="false">K16/K22</f>
        <v>0.273693288280686</v>
      </c>
      <c r="L28" s="41" t="n">
        <f aca="false">L16/L22</f>
        <v>0.267893348311868</v>
      </c>
      <c r="M28" s="41" t="n">
        <f aca="false">M16/M22</f>
        <v>0.265377518850518</v>
      </c>
      <c r="N28" s="41" t="n">
        <f aca="false">N16/N22</f>
        <v>0.277879578191712</v>
      </c>
      <c r="O28" s="41" t="n">
        <f aca="false">O16/O22</f>
        <v>0.283520458633094</v>
      </c>
      <c r="P28" s="42" t="n">
        <f aca="false">P16/P22</f>
        <v>0.273693288280686</v>
      </c>
      <c r="Q28" s="41" t="n">
        <f aca="false">Q16/Q22</f>
        <v>0.267893348311868</v>
      </c>
      <c r="R28" s="41" t="n">
        <f aca="false">R16/R22</f>
        <v>0.265377518850518</v>
      </c>
      <c r="S28" s="41" t="n">
        <f aca="false">S16/S22</f>
        <v>0.277879578191712</v>
      </c>
      <c r="T28" s="41" t="n">
        <f aca="false">T16/T22</f>
        <v>0.283520458633094</v>
      </c>
      <c r="U28" s="42" t="n">
        <f aca="false">U16/U22</f>
        <v>0.273693288280686</v>
      </c>
    </row>
    <row r="29" customFormat="false" ht="15" hidden="false" customHeight="true" outlineLevel="0" collapsed="false">
      <c r="A29" s="6" t="s">
        <v>123</v>
      </c>
      <c r="B29" s="41" t="n">
        <f aca="false">B17/B22</f>
        <v>0.132102521462762</v>
      </c>
      <c r="C29" s="41" t="n">
        <f aca="false">C17/C22</f>
        <v>0.100940584610282</v>
      </c>
      <c r="D29" s="41" t="n">
        <f aca="false">D17/D22</f>
        <v>0.0775103488693969</v>
      </c>
      <c r="E29" s="41" t="n">
        <f aca="false">E17/E22</f>
        <v>0.0790838129496403</v>
      </c>
      <c r="F29" s="42" t="n">
        <f aca="false">F17/F22</f>
        <v>0.0974681771210907</v>
      </c>
      <c r="G29" s="41" t="n">
        <f aca="false">G17/G22</f>
        <v>0.0936201590715319</v>
      </c>
      <c r="H29" s="41" t="n">
        <f aca="false">H17/H22</f>
        <v>0.100940584610282</v>
      </c>
      <c r="I29" s="41" t="n">
        <f aca="false">I17/I22</f>
        <v>0.0775103488693969</v>
      </c>
      <c r="J29" s="41" t="n">
        <f aca="false">J17/J22</f>
        <v>0.0790838129496403</v>
      </c>
      <c r="K29" s="42" t="n">
        <f aca="false">K17/K22</f>
        <v>0.0876985337695986</v>
      </c>
      <c r="L29" s="41" t="n">
        <f aca="false">L17/L22</f>
        <v>0.0936201590715319</v>
      </c>
      <c r="M29" s="41" t="n">
        <f aca="false">M17/M22</f>
        <v>0.100940584610282</v>
      </c>
      <c r="N29" s="41" t="n">
        <f aca="false">N17/N22</f>
        <v>0.0775103488693969</v>
      </c>
      <c r="O29" s="41" t="n">
        <f aca="false">O17/O22</f>
        <v>0.0790838129496403</v>
      </c>
      <c r="P29" s="42" t="n">
        <f aca="false">P17/P22</f>
        <v>0.0876985337695986</v>
      </c>
      <c r="Q29" s="41" t="n">
        <f aca="false">Q17/Q22</f>
        <v>0.0936201590715319</v>
      </c>
      <c r="R29" s="41" t="n">
        <f aca="false">R17/R22</f>
        <v>0.100940584610282</v>
      </c>
      <c r="S29" s="41" t="n">
        <f aca="false">S17/S22</f>
        <v>0.0775103488693969</v>
      </c>
      <c r="T29" s="41" t="n">
        <f aca="false">T17/T22</f>
        <v>0.0790838129496403</v>
      </c>
      <c r="U29" s="42" t="n">
        <f aca="false">U17/U22</f>
        <v>0.0876985337695986</v>
      </c>
    </row>
    <row r="31" customFormat="false" ht="15" hidden="false" customHeight="true" outlineLevel="0" collapsed="false">
      <c r="A31" s="6"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1" min="2" style="1" width="10"/>
    <col collapsed="false" customWidth="true" hidden="false" outlineLevel="0" max="23" min="23" style="1" width="100"/>
  </cols>
  <sheetData>
    <row r="1" customFormat="false" ht="17.25" hidden="false" customHeight="true" outlineLevel="0" collapsed="false">
      <c r="A1" s="2" t="s">
        <v>125</v>
      </c>
    </row>
    <row r="2" customFormat="false" ht="15" hidden="false" customHeight="true" outlineLevel="0" collapsed="false">
      <c r="A2" s="6" t="s">
        <v>126</v>
      </c>
    </row>
    <row r="4" customFormat="false" ht="15" hidden="false" customHeight="true" outlineLevel="0" collapsed="false">
      <c r="A4" s="21" t="s">
        <v>90</v>
      </c>
      <c r="B4" s="8" t="s">
        <v>34</v>
      </c>
      <c r="C4" s="8" t="s">
        <v>35</v>
      </c>
      <c r="D4" s="8" t="s">
        <v>36</v>
      </c>
      <c r="E4" s="8" t="s">
        <v>37</v>
      </c>
      <c r="F4" s="9" t="s">
        <v>38</v>
      </c>
      <c r="G4" s="8" t="s">
        <v>39</v>
      </c>
      <c r="H4" s="8" t="s">
        <v>40</v>
      </c>
      <c r="I4" s="8" t="s">
        <v>41</v>
      </c>
      <c r="J4" s="8" t="s">
        <v>42</v>
      </c>
      <c r="K4" s="9" t="s">
        <v>43</v>
      </c>
      <c r="L4" s="8" t="s">
        <v>44</v>
      </c>
      <c r="M4" s="8" t="s">
        <v>45</v>
      </c>
      <c r="N4" s="8" t="s">
        <v>46</v>
      </c>
      <c r="O4" s="8" t="s">
        <v>47</v>
      </c>
      <c r="P4" s="9" t="s">
        <v>48</v>
      </c>
      <c r="Q4" s="8" t="s">
        <v>49</v>
      </c>
      <c r="R4" s="8" t="s">
        <v>50</v>
      </c>
      <c r="S4" s="8" t="s">
        <v>51</v>
      </c>
      <c r="T4" s="8" t="s">
        <v>52</v>
      </c>
      <c r="U4" s="9" t="s">
        <v>53</v>
      </c>
    </row>
    <row r="6" customFormat="false" ht="15" hidden="false" customHeight="true" outlineLevel="0" collapsed="false">
      <c r="A6" s="12" t="s">
        <v>127</v>
      </c>
      <c r="B6" s="43" t="n">
        <f aca="false">'Revenue Build'!B22</f>
        <v>22009.05</v>
      </c>
      <c r="C6" s="43" t="n">
        <f aca="false">'Revenue Build'!C22</f>
        <v>19960.99</v>
      </c>
      <c r="D6" s="43" t="n">
        <f aca="false">'Revenue Build'!D22</f>
        <v>21180.333</v>
      </c>
      <c r="E6" s="43" t="n">
        <f aca="false">'Revenue Build'!E22</f>
        <v>22240</v>
      </c>
      <c r="F6" s="44" t="n">
        <f aca="false">'Revenue Build'!F22</f>
        <v>85390.373</v>
      </c>
      <c r="G6" s="43" t="n">
        <f aca="false">'Revenue Build'!G22</f>
        <v>25465.776</v>
      </c>
      <c r="H6" s="45" t="n">
        <f aca="false">'Revenue Build'!H22</f>
        <v>22110.6773005588</v>
      </c>
      <c r="I6" s="45" t="n">
        <f aca="false">'Revenue Build'!I22</f>
        <v>23461.3367413829</v>
      </c>
      <c r="J6" s="45" t="n">
        <f aca="false">'Revenue Build'!J22</f>
        <v>23745.52396752</v>
      </c>
      <c r="K6" s="44" t="n">
        <f aca="false">'Revenue Build'!K22</f>
        <v>94783.3140094616</v>
      </c>
      <c r="L6" s="45" t="n">
        <f aca="false">'Revenue Build'!L22</f>
        <v>27503.03808</v>
      </c>
      <c r="M6" s="45" t="n">
        <f aca="false">'Revenue Build'!M22</f>
        <v>23879.5314846035</v>
      </c>
      <c r="N6" s="45" t="n">
        <f aca="false">'Revenue Build'!N22</f>
        <v>25338.2436806935</v>
      </c>
      <c r="O6" s="45" t="n">
        <f aca="false">'Revenue Build'!O22</f>
        <v>25645.1658849216</v>
      </c>
      <c r="P6" s="44" t="n">
        <f aca="false">'Revenue Build'!P22</f>
        <v>102365.979130219</v>
      </c>
      <c r="Q6" s="45" t="n">
        <f aca="false">'Revenue Build'!Q22</f>
        <v>29703.2811264</v>
      </c>
      <c r="R6" s="45" t="n">
        <f aca="false">'Revenue Build'!R22</f>
        <v>25789.8940033718</v>
      </c>
      <c r="S6" s="45" t="n">
        <f aca="false">'Revenue Build'!S22</f>
        <v>27365.303175149</v>
      </c>
      <c r="T6" s="45" t="n">
        <f aca="false">'Revenue Build'!T22</f>
        <v>27696.7791557153</v>
      </c>
      <c r="U6" s="44" t="n">
        <f aca="false">'Revenue Build'!U22</f>
        <v>110555.257460636</v>
      </c>
      <c r="W6" s="6" t="s">
        <v>128</v>
      </c>
    </row>
    <row r="7" customFormat="false" ht="15" hidden="false" customHeight="true" outlineLevel="0" collapsed="false">
      <c r="A7" s="6" t="s">
        <v>129</v>
      </c>
      <c r="G7" s="41" t="n">
        <f aca="false">G6/B6-1</f>
        <v>0.157059300605887</v>
      </c>
      <c r="H7" s="41" t="n">
        <f aca="false">H6/C6-1</f>
        <v>0.107694423</v>
      </c>
      <c r="I7" s="41" t="n">
        <f aca="false">I6/D6-1</f>
        <v>0.107694423</v>
      </c>
      <c r="J7" s="41" t="n">
        <f aca="false">J6/E6-1</f>
        <v>0.0676944230000001</v>
      </c>
      <c r="K7" s="42" t="n">
        <f aca="false">K6/F6-1</f>
        <v>0.109999999759477</v>
      </c>
      <c r="L7" s="41" t="n">
        <f aca="false">L6/G6-1</f>
        <v>0.0800000000000001</v>
      </c>
      <c r="M7" s="41" t="n">
        <f aca="false">M6/H6-1</f>
        <v>0.0800000000000001</v>
      </c>
      <c r="N7" s="41" t="n">
        <f aca="false">N6/I6-1</f>
        <v>0.0800000000000001</v>
      </c>
      <c r="O7" s="41" t="n">
        <f aca="false">O6/J6-1</f>
        <v>0.0800000000000003</v>
      </c>
      <c r="P7" s="42" t="n">
        <f aca="false">P6/K6-1</f>
        <v>0.0800000000000003</v>
      </c>
      <c r="Q7" s="41" t="n">
        <f aca="false">Q6/L6-1</f>
        <v>0.0799999999999999</v>
      </c>
      <c r="R7" s="41" t="n">
        <f aca="false">R6/M6-1</f>
        <v>0.0800000000000001</v>
      </c>
      <c r="S7" s="41" t="n">
        <f aca="false">S6/N6-1</f>
        <v>0.0800000000000001</v>
      </c>
      <c r="T7" s="41" t="n">
        <f aca="false">T6/O6-1</f>
        <v>0.0800000000000001</v>
      </c>
      <c r="U7" s="42" t="n">
        <f aca="false">U6/P6-1</f>
        <v>0.0799999999999999</v>
      </c>
    </row>
    <row r="8" customFormat="false" ht="15" hidden="false" customHeight="true" outlineLevel="0" collapsed="false">
      <c r="A8" s="12" t="s">
        <v>130</v>
      </c>
      <c r="B8" s="31" t="n">
        <v>4809.143</v>
      </c>
      <c r="C8" s="31" t="n">
        <v>5140.069</v>
      </c>
      <c r="D8" s="31" t="n">
        <v>4870.019</v>
      </c>
      <c r="E8" s="31" t="n">
        <v>4900</v>
      </c>
      <c r="F8" s="32" t="n">
        <f aca="false">SUM(B8:E8)</f>
        <v>19719.231</v>
      </c>
      <c r="G8" s="31" t="n">
        <v>5136.883</v>
      </c>
      <c r="H8" s="33" t="n">
        <f aca="false">H6*Assumptions!H9</f>
        <v>4974.90239262572</v>
      </c>
      <c r="I8" s="33" t="n">
        <f aca="false">I6*Assumptions!I9</f>
        <v>5349.18477703529</v>
      </c>
      <c r="J8" s="33" t="n">
        <f aca="false">J6*Assumptions!J9</f>
        <v>5461.4705125296</v>
      </c>
      <c r="K8" s="32" t="n">
        <f aca="false">SUM(G8:J8)</f>
        <v>20922.4406821906</v>
      </c>
      <c r="L8" s="33" t="n">
        <f aca="false">L6*Assumptions!L9</f>
        <v>6188.183568</v>
      </c>
      <c r="M8" s="33" t="n">
        <f aca="false">M6*Assumptions!M9</f>
        <v>5372.89458403578</v>
      </c>
      <c r="N8" s="33" t="n">
        <f aca="false">N6*Assumptions!N9</f>
        <v>5701.10482815604</v>
      </c>
      <c r="O8" s="33" t="n">
        <f aca="false">O6*Assumptions!O9</f>
        <v>5770.16232410736</v>
      </c>
      <c r="P8" s="32" t="n">
        <f aca="false">SUM(L8:O8)</f>
        <v>23032.3453042992</v>
      </c>
      <c r="Q8" s="33" t="n">
        <f aca="false">Q6*Assumptions!Q9</f>
        <v>6683.23825344</v>
      </c>
      <c r="R8" s="33" t="n">
        <f aca="false">R6*Assumptions!R9</f>
        <v>5802.72615075864</v>
      </c>
      <c r="S8" s="33" t="n">
        <f aca="false">S6*Assumptions!S9</f>
        <v>6157.19321440852</v>
      </c>
      <c r="T8" s="33" t="n">
        <f aca="false">T6*Assumptions!T9</f>
        <v>6231.77531003595</v>
      </c>
      <c r="U8" s="32" t="n">
        <f aca="false">SUM(Q8:T8)</f>
        <v>24874.9329286431</v>
      </c>
      <c r="W8" s="6" t="s">
        <v>131</v>
      </c>
    </row>
    <row r="9" customFormat="false" ht="15" hidden="false" customHeight="true" outlineLevel="0" collapsed="false">
      <c r="A9" s="6" t="s">
        <v>132</v>
      </c>
      <c r="B9" s="41" t="n">
        <f aca="false">B8/B6</f>
        <v>0.218507523041658</v>
      </c>
      <c r="C9" s="41" t="n">
        <f aca="false">C8/C6</f>
        <v>0.257505714896906</v>
      </c>
      <c r="D9" s="41" t="n">
        <f aca="false">D8/D6</f>
        <v>0.229931181912957</v>
      </c>
      <c r="E9" s="41" t="n">
        <f aca="false">E8/E6</f>
        <v>0.220323741007194</v>
      </c>
      <c r="F9" s="42" t="n">
        <f aca="false">F8/F6</f>
        <v>0.230930376659673</v>
      </c>
      <c r="G9" s="41" t="n">
        <f aca="false">G8/G6</f>
        <v>0.201717120263683</v>
      </c>
      <c r="H9" s="41" t="n">
        <f aca="false">H8/H6</f>
        <v>0.225</v>
      </c>
      <c r="I9" s="41" t="n">
        <f aca="false">I8/I6</f>
        <v>0.228</v>
      </c>
      <c r="J9" s="41" t="n">
        <f aca="false">J8/J6</f>
        <v>0.23</v>
      </c>
      <c r="K9" s="42" t="n">
        <f aca="false">K8/K6</f>
        <v>0.220739704038013</v>
      </c>
      <c r="L9" s="41" t="n">
        <f aca="false">L8/L6</f>
        <v>0.225</v>
      </c>
      <c r="M9" s="41" t="n">
        <f aca="false">M8/M6</f>
        <v>0.225</v>
      </c>
      <c r="N9" s="41" t="n">
        <f aca="false">N8/N6</f>
        <v>0.225</v>
      </c>
      <c r="O9" s="41" t="n">
        <f aca="false">O8/O6</f>
        <v>0.225</v>
      </c>
      <c r="P9" s="42" t="n">
        <f aca="false">P8/P6</f>
        <v>0.225</v>
      </c>
      <c r="Q9" s="41" t="n">
        <f aca="false">Q8/Q6</f>
        <v>0.225</v>
      </c>
      <c r="R9" s="41" t="n">
        <f aca="false">R8/R6</f>
        <v>0.225</v>
      </c>
      <c r="S9" s="41" t="n">
        <f aca="false">S8/S6</f>
        <v>0.225</v>
      </c>
      <c r="T9" s="41" t="n">
        <f aca="false">T8/T6</f>
        <v>0.225</v>
      </c>
      <c r="U9" s="42" t="n">
        <f aca="false">U8/U6</f>
        <v>0.225</v>
      </c>
    </row>
    <row r="10" customFormat="false" ht="15" hidden="false" customHeight="true" outlineLevel="0" collapsed="false">
      <c r="A10" s="22" t="s">
        <v>133</v>
      </c>
      <c r="B10" s="33" t="n">
        <f aca="false">B6-B8</f>
        <v>17199.907</v>
      </c>
      <c r="C10" s="33" t="n">
        <f aca="false">C6-C8</f>
        <v>14820.921</v>
      </c>
      <c r="D10" s="33" t="n">
        <f aca="false">D6-D8</f>
        <v>16310.314</v>
      </c>
      <c r="E10" s="33" t="n">
        <f aca="false">E6-E8</f>
        <v>17340</v>
      </c>
      <c r="F10" s="32" t="n">
        <f aca="false">SUM(B10:E10)</f>
        <v>65671.142</v>
      </c>
      <c r="G10" s="33" t="n">
        <f aca="false">G6-G8</f>
        <v>20328.893</v>
      </c>
      <c r="H10" s="33" t="n">
        <f aca="false">H6-H8</f>
        <v>17135.774907933</v>
      </c>
      <c r="I10" s="33" t="n">
        <f aca="false">I6-I8</f>
        <v>18112.1519643476</v>
      </c>
      <c r="J10" s="33" t="n">
        <f aca="false">J6-J8</f>
        <v>18284.0534549904</v>
      </c>
      <c r="K10" s="32" t="n">
        <f aca="false">SUM(G10:J10)</f>
        <v>73860.873327271</v>
      </c>
      <c r="L10" s="33" t="n">
        <f aca="false">L6-L8</f>
        <v>21314.854512</v>
      </c>
      <c r="M10" s="33" t="n">
        <f aca="false">M6-M8</f>
        <v>18506.6369005677</v>
      </c>
      <c r="N10" s="33" t="n">
        <f aca="false">N6-N8</f>
        <v>19637.1388525375</v>
      </c>
      <c r="O10" s="33" t="n">
        <f aca="false">O6-O8</f>
        <v>19875.0035608142</v>
      </c>
      <c r="P10" s="32" t="n">
        <f aca="false">SUM(L10:O10)</f>
        <v>79333.6338259194</v>
      </c>
      <c r="Q10" s="33" t="n">
        <f aca="false">Q6-Q8</f>
        <v>23020.04287296</v>
      </c>
      <c r="R10" s="33" t="n">
        <f aca="false">R6-R8</f>
        <v>19987.1678526131</v>
      </c>
      <c r="S10" s="33" t="n">
        <f aca="false">S6-S8</f>
        <v>21208.1099607405</v>
      </c>
      <c r="T10" s="33" t="n">
        <f aca="false">T6-T8</f>
        <v>21465.0038456794</v>
      </c>
      <c r="U10" s="32" t="n">
        <f aca="false">SUM(Q10:T10)</f>
        <v>85680.324531993</v>
      </c>
    </row>
    <row r="12" customFormat="false" ht="15" hidden="false" customHeight="true" outlineLevel="0" collapsed="false">
      <c r="A12" s="46" t="s">
        <v>134</v>
      </c>
      <c r="B12" s="47"/>
      <c r="C12" s="47"/>
      <c r="D12" s="47"/>
      <c r="E12" s="47"/>
      <c r="F12" s="47"/>
      <c r="G12" s="47"/>
      <c r="H12" s="47"/>
      <c r="I12" s="47"/>
      <c r="J12" s="47"/>
      <c r="K12" s="47"/>
      <c r="L12" s="47"/>
      <c r="M12" s="47"/>
      <c r="N12" s="47"/>
      <c r="O12" s="47"/>
      <c r="P12" s="47"/>
      <c r="Q12" s="47"/>
      <c r="R12" s="47"/>
      <c r="S12" s="47"/>
      <c r="T12" s="47"/>
      <c r="U12" s="47"/>
    </row>
    <row r="13" customFormat="false" ht="15" hidden="false" customHeight="true" outlineLevel="0" collapsed="false">
      <c r="A13" s="22" t="s">
        <v>135</v>
      </c>
      <c r="B13" s="31" t="n">
        <v>410.062</v>
      </c>
      <c r="C13" s="31" t="n">
        <v>434.255</v>
      </c>
      <c r="D13" s="31" t="n">
        <v>399.582</v>
      </c>
      <c r="E13" s="31" t="n">
        <v>315.63</v>
      </c>
      <c r="F13" s="32" t="n">
        <f aca="false">SUM(B13:E13)</f>
        <v>1559.529</v>
      </c>
      <c r="G13" s="31" t="n">
        <v>329.284</v>
      </c>
      <c r="H13" s="33" t="n">
        <f aca="false">H6*Assumptions!H10</f>
        <v>287.438804907264</v>
      </c>
      <c r="I13" s="33" t="n">
        <f aca="false">I6*Assumptions!I10</f>
        <v>304.997377637977</v>
      </c>
      <c r="J13" s="33" t="n">
        <f aca="false">J6*Assumptions!J10</f>
        <v>308.69181157776</v>
      </c>
      <c r="K13" s="32" t="n">
        <f aca="false">SUM(G13:J13)</f>
        <v>1230.411994123</v>
      </c>
      <c r="L13" s="33" t="n">
        <f aca="false">L6*Assumptions!L10</f>
        <v>357.53949504</v>
      </c>
      <c r="M13" s="33" t="n">
        <f aca="false">M6*Assumptions!M10</f>
        <v>310.433909299845</v>
      </c>
      <c r="N13" s="33" t="n">
        <f aca="false">N6*Assumptions!N10</f>
        <v>329.397167849015</v>
      </c>
      <c r="O13" s="33" t="n">
        <f aca="false">O6*Assumptions!O10</f>
        <v>333.387156503981</v>
      </c>
      <c r="P13" s="32" t="n">
        <f aca="false">SUM(L13:O13)</f>
        <v>1330.75772869284</v>
      </c>
      <c r="Q13" s="33" t="n">
        <f aca="false">Q6*Assumptions!Q10</f>
        <v>386.1426546432</v>
      </c>
      <c r="R13" s="33" t="n">
        <f aca="false">R6*Assumptions!R10</f>
        <v>335.268622043833</v>
      </c>
      <c r="S13" s="33" t="n">
        <f aca="false">S6*Assumptions!S10</f>
        <v>355.748941276937</v>
      </c>
      <c r="T13" s="33" t="n">
        <f aca="false">T6*Assumptions!T10</f>
        <v>360.058129024299</v>
      </c>
      <c r="U13" s="32" t="n">
        <f aca="false">SUM(Q13:T13)</f>
        <v>1437.21834698827</v>
      </c>
      <c r="W13" s="6" t="s">
        <v>136</v>
      </c>
    </row>
    <row r="14" customFormat="false" ht="15" hidden="false" customHeight="true" outlineLevel="0" collapsed="false">
      <c r="A14" s="22" t="s">
        <v>137</v>
      </c>
      <c r="B14" s="31" t="n">
        <v>4142.895</v>
      </c>
      <c r="C14" s="31" t="n">
        <v>3793.868</v>
      </c>
      <c r="D14" s="31" t="n">
        <v>4102.18</v>
      </c>
      <c r="E14" s="31" t="n">
        <v>3054.795</v>
      </c>
      <c r="F14" s="32" t="n">
        <f aca="false">SUM(B14:E14)</f>
        <v>15093.738</v>
      </c>
      <c r="G14" s="31" t="n">
        <v>4356.142</v>
      </c>
      <c r="H14" s="33" t="n">
        <f aca="false">H6*Assumptions!H11</f>
        <v>3648.2617545922</v>
      </c>
      <c r="I14" s="33" t="n">
        <f aca="false">I6*Assumptions!I11</f>
        <v>3871.12056232817</v>
      </c>
      <c r="J14" s="33" t="n">
        <f aca="false">J6*Assumptions!J11</f>
        <v>3918.0114546408</v>
      </c>
      <c r="K14" s="32" t="n">
        <f aca="false">SUM(G14:J14)</f>
        <v>15793.5357715612</v>
      </c>
      <c r="L14" s="33" t="n">
        <f aca="false">L6*Assumptions!L11</f>
        <v>4538.0012832</v>
      </c>
      <c r="M14" s="33" t="n">
        <f aca="false">M6*Assumptions!M11</f>
        <v>3940.12269495957</v>
      </c>
      <c r="N14" s="33" t="n">
        <f aca="false">N6*Assumptions!N11</f>
        <v>4180.81020731443</v>
      </c>
      <c r="O14" s="33" t="n">
        <f aca="false">O6*Assumptions!O11</f>
        <v>4231.45237101207</v>
      </c>
      <c r="P14" s="32" t="n">
        <f aca="false">SUM(L14:O14)</f>
        <v>16890.3865564861</v>
      </c>
      <c r="Q14" s="33" t="n">
        <f aca="false">Q6*Assumptions!Q11</f>
        <v>4901.041385856</v>
      </c>
      <c r="R14" s="33" t="n">
        <f aca="false">R6*Assumptions!R11</f>
        <v>4255.33251055634</v>
      </c>
      <c r="S14" s="33" t="n">
        <f aca="false">S6*Assumptions!S11</f>
        <v>4515.27502389958</v>
      </c>
      <c r="T14" s="33" t="n">
        <f aca="false">T6*Assumptions!T11</f>
        <v>4569.96856069303</v>
      </c>
      <c r="U14" s="32" t="n">
        <f aca="false">SUM(Q14:T14)</f>
        <v>18241.617481005</v>
      </c>
      <c r="W14" s="6" t="s">
        <v>138</v>
      </c>
    </row>
    <row r="15" customFormat="false" ht="15" hidden="false" customHeight="true" outlineLevel="0" collapsed="false">
      <c r="A15" s="22" t="s">
        <v>139</v>
      </c>
      <c r="B15" s="31" t="n">
        <v>495.77</v>
      </c>
      <c r="C15" s="31" t="n">
        <v>464.599</v>
      </c>
      <c r="D15" s="31" t="n">
        <v>432.846</v>
      </c>
      <c r="E15" s="31" t="n">
        <v>353.518</v>
      </c>
      <c r="F15" s="32" t="n">
        <f aca="false">SUM(B15:E15)</f>
        <v>1746.733</v>
      </c>
      <c r="G15" s="31" t="n">
        <v>225.745</v>
      </c>
      <c r="H15" s="33" t="n">
        <f aca="false">H6*Assumptions!H12</f>
        <v>243.217450306146</v>
      </c>
      <c r="I15" s="33" t="n">
        <f aca="false">I6*Assumptions!I12</f>
        <v>258.074704155211</v>
      </c>
      <c r="J15" s="33" t="n">
        <f aca="false">J6*Assumptions!J12</f>
        <v>261.20076364272</v>
      </c>
      <c r="K15" s="32" t="n">
        <f aca="false">SUM(G15:J15)</f>
        <v>988.237918104078</v>
      </c>
      <c r="L15" s="33" t="n">
        <f aca="false">L6*Assumptions!L12</f>
        <v>302.53341888</v>
      </c>
      <c r="M15" s="33" t="n">
        <f aca="false">M6*Assumptions!M12</f>
        <v>262.674846330638</v>
      </c>
      <c r="N15" s="33" t="n">
        <f aca="false">N6*Assumptions!N12</f>
        <v>278.720680487628</v>
      </c>
      <c r="O15" s="33" t="n">
        <f aca="false">O6*Assumptions!O12</f>
        <v>282.096824734138</v>
      </c>
      <c r="P15" s="32" t="n">
        <f aca="false">SUM(L15:O15)</f>
        <v>1126.0257704324</v>
      </c>
      <c r="Q15" s="33" t="n">
        <f aca="false">Q6*Assumptions!Q12</f>
        <v>326.7360923904</v>
      </c>
      <c r="R15" s="33" t="n">
        <f aca="false">R6*Assumptions!R12</f>
        <v>283.688834037089</v>
      </c>
      <c r="S15" s="33" t="n">
        <f aca="false">S6*Assumptions!S12</f>
        <v>301.018334926639</v>
      </c>
      <c r="T15" s="33" t="n">
        <f aca="false">T6*Assumptions!T12</f>
        <v>304.664570712869</v>
      </c>
      <c r="U15" s="32" t="n">
        <f aca="false">SUM(Q15:T15)</f>
        <v>1216.107832067</v>
      </c>
      <c r="W15" s="6" t="s">
        <v>140</v>
      </c>
    </row>
    <row r="16" customFormat="false" ht="15" hidden="false" customHeight="true" outlineLevel="0" collapsed="false">
      <c r="A16" s="12" t="s">
        <v>141</v>
      </c>
      <c r="B16" s="48" t="n">
        <f aca="false">SUM(B13:B15)</f>
        <v>5048.727</v>
      </c>
      <c r="C16" s="48" t="n">
        <f aca="false">SUM(C13:C15)</f>
        <v>4692.722</v>
      </c>
      <c r="D16" s="48" t="n">
        <f aca="false">SUM(D13:D15)</f>
        <v>4934.608</v>
      </c>
      <c r="E16" s="48" t="n">
        <f aca="false">SUM(E13:E15)</f>
        <v>3723.943</v>
      </c>
      <c r="F16" s="49" t="n">
        <f aca="false">SUM(B16:E16)</f>
        <v>18400</v>
      </c>
      <c r="G16" s="48" t="n">
        <f aca="false">SUM(G13:G15)</f>
        <v>4911.171</v>
      </c>
      <c r="H16" s="48" t="n">
        <f aca="false">SUM(H13:H15)</f>
        <v>4178.91800980561</v>
      </c>
      <c r="I16" s="48" t="n">
        <f aca="false">SUM(I13:I15)</f>
        <v>4434.19264412136</v>
      </c>
      <c r="J16" s="48" t="n">
        <f aca="false">SUM(J13:J15)</f>
        <v>4487.90402986128</v>
      </c>
      <c r="K16" s="49" t="n">
        <f aca="false">SUM(G16:J16)</f>
        <v>18012.1856837883</v>
      </c>
      <c r="L16" s="48" t="n">
        <f aca="false">SUM(L13:L15)</f>
        <v>5198.07419712</v>
      </c>
      <c r="M16" s="48" t="n">
        <f aca="false">SUM(M13:M15)</f>
        <v>4513.23145059006</v>
      </c>
      <c r="N16" s="48" t="n">
        <f aca="false">SUM(N13:N15)</f>
        <v>4788.92805565107</v>
      </c>
      <c r="O16" s="48" t="n">
        <f aca="false">SUM(O13:O15)</f>
        <v>4846.93635225018</v>
      </c>
      <c r="P16" s="49" t="n">
        <f aca="false">SUM(L16:O16)</f>
        <v>19347.1700556113</v>
      </c>
      <c r="Q16" s="48" t="n">
        <f aca="false">SUM(Q13:Q15)</f>
        <v>5613.9201328896</v>
      </c>
      <c r="R16" s="48" t="n">
        <f aca="false">SUM(R13:R15)</f>
        <v>4874.28996663726</v>
      </c>
      <c r="S16" s="48" t="n">
        <f aca="false">SUM(S13:S15)</f>
        <v>5172.04230010316</v>
      </c>
      <c r="T16" s="48" t="n">
        <f aca="false">SUM(T13:T15)</f>
        <v>5234.6912604302</v>
      </c>
      <c r="U16" s="49" t="n">
        <f aca="false">SUM(Q16:T16)</f>
        <v>20894.9436600602</v>
      </c>
    </row>
    <row r="18" customFormat="false" ht="15" hidden="false" customHeight="true" outlineLevel="0" collapsed="false">
      <c r="A18" s="12" t="s">
        <v>142</v>
      </c>
      <c r="B18" s="50" t="n">
        <f aca="false">B8-B16</f>
        <v>-239.584000000001</v>
      </c>
      <c r="C18" s="50" t="n">
        <f aca="false">C8-C16</f>
        <v>447.347000000001</v>
      </c>
      <c r="D18" s="50" t="n">
        <f aca="false">D8-D16</f>
        <v>-64.5889999999999</v>
      </c>
      <c r="E18" s="50" t="n">
        <f aca="false">E8-E16</f>
        <v>1176.057</v>
      </c>
      <c r="F18" s="32" t="n">
        <f aca="false">SUM(B18:E18)</f>
        <v>1319.231</v>
      </c>
      <c r="G18" s="50" t="n">
        <f aca="false">G8-G16</f>
        <v>225.712</v>
      </c>
      <c r="H18" s="50" t="n">
        <f aca="false">H8-H16</f>
        <v>795.984382820116</v>
      </c>
      <c r="I18" s="50" t="n">
        <f aca="false">I8-I16</f>
        <v>914.992132913932</v>
      </c>
      <c r="J18" s="50" t="n">
        <f aca="false">J8-J16</f>
        <v>973.566482668321</v>
      </c>
      <c r="K18" s="32" t="n">
        <f aca="false">SUM(G18:J18)</f>
        <v>2910.25499840237</v>
      </c>
      <c r="L18" s="50" t="n">
        <f aca="false">L8-L16</f>
        <v>990.109370880001</v>
      </c>
      <c r="M18" s="50" t="n">
        <f aca="false">M8-M16</f>
        <v>859.663133445725</v>
      </c>
      <c r="N18" s="50" t="n">
        <f aca="false">N8-N16</f>
        <v>912.176772504966</v>
      </c>
      <c r="O18" s="50" t="n">
        <f aca="false">O8-O16</f>
        <v>923.225971857178</v>
      </c>
      <c r="P18" s="32" t="n">
        <f aca="false">SUM(L18:O18)</f>
        <v>3685.17524868787</v>
      </c>
      <c r="Q18" s="50" t="n">
        <f aca="false">Q8-Q16</f>
        <v>1069.3181205504</v>
      </c>
      <c r="R18" s="50" t="n">
        <f aca="false">R8-R16</f>
        <v>928.436184121383</v>
      </c>
      <c r="S18" s="50" t="n">
        <f aca="false">S8-S16</f>
        <v>985.150914305363</v>
      </c>
      <c r="T18" s="50" t="n">
        <f aca="false">T8-T16</f>
        <v>997.084049605753</v>
      </c>
      <c r="U18" s="32" t="n">
        <f aca="false">SUM(Q18:T18)</f>
        <v>3979.9892685829</v>
      </c>
    </row>
    <row r="19" customFormat="false" ht="15" hidden="false" customHeight="true" outlineLevel="0" collapsed="false">
      <c r="A19" s="6" t="s">
        <v>143</v>
      </c>
      <c r="B19" s="41" t="n">
        <f aca="false">B18/B6</f>
        <v>-0.0108857038354677</v>
      </c>
      <c r="C19" s="41" t="n">
        <f aca="false">C18/C6</f>
        <v>0.0224110627779484</v>
      </c>
      <c r="D19" s="41" t="n">
        <f aca="false">D18/D6</f>
        <v>-0.0030494799113876</v>
      </c>
      <c r="E19" s="41" t="n">
        <f aca="false">E18/E6</f>
        <v>0.0528802607913669</v>
      </c>
      <c r="F19" s="42" t="n">
        <f aca="false">F18/F6</f>
        <v>0.0154494113756828</v>
      </c>
      <c r="G19" s="41" t="n">
        <f aca="false">G18/G6</f>
        <v>0.00886334663432206</v>
      </c>
      <c r="H19" s="41" t="n">
        <f aca="false">H18/H6</f>
        <v>0.036</v>
      </c>
      <c r="I19" s="41" t="n">
        <f aca="false">I18/I6</f>
        <v>0.039</v>
      </c>
      <c r="J19" s="41" t="n">
        <f aca="false">J18/J6</f>
        <v>0.041</v>
      </c>
      <c r="K19" s="42" t="n">
        <f aca="false">K18/K6</f>
        <v>0.0307042967300326</v>
      </c>
      <c r="L19" s="41" t="n">
        <f aca="false">L18/L6</f>
        <v>0.036</v>
      </c>
      <c r="M19" s="41" t="n">
        <f aca="false">M18/M6</f>
        <v>0.036</v>
      </c>
      <c r="N19" s="41" t="n">
        <f aca="false">N18/N6</f>
        <v>0.036</v>
      </c>
      <c r="O19" s="41" t="n">
        <f aca="false">O18/O6</f>
        <v>0.036</v>
      </c>
      <c r="P19" s="42" t="n">
        <f aca="false">P18/P6</f>
        <v>0.036</v>
      </c>
      <c r="Q19" s="41" t="n">
        <f aca="false">Q18/Q6</f>
        <v>0.036</v>
      </c>
      <c r="R19" s="41" t="n">
        <f aca="false">R18/R6</f>
        <v>0.036</v>
      </c>
      <c r="S19" s="41" t="n">
        <f aca="false">S18/S6</f>
        <v>0.036</v>
      </c>
      <c r="T19" s="41" t="n">
        <f aca="false">T18/T6</f>
        <v>0.036</v>
      </c>
      <c r="U19" s="42" t="n">
        <f aca="false">U18/U6</f>
        <v>0.036</v>
      </c>
    </row>
    <row r="20" customFormat="false" ht="15" hidden="false" customHeight="true" outlineLevel="0" collapsed="false">
      <c r="A20" s="22" t="s">
        <v>144</v>
      </c>
      <c r="B20" s="31" t="n">
        <v>4.614</v>
      </c>
      <c r="C20" s="31" t="n">
        <v>-813.997</v>
      </c>
      <c r="D20" s="31" t="n">
        <v>-335.411</v>
      </c>
      <c r="E20" s="31" t="n">
        <v>-2676.057</v>
      </c>
      <c r="F20" s="32" t="n">
        <f aca="false">SUM(B20:E20)</f>
        <v>-3820.851</v>
      </c>
      <c r="G20" s="31" t="n">
        <v>137.33</v>
      </c>
      <c r="H20" s="33" t="n">
        <f aca="false">Assumptions!H14</f>
        <v>137</v>
      </c>
      <c r="I20" s="33" t="n">
        <f aca="false">Assumptions!I14</f>
        <v>137</v>
      </c>
      <c r="J20" s="33" t="n">
        <f aca="false">Assumptions!J14</f>
        <v>137</v>
      </c>
      <c r="K20" s="32" t="n">
        <f aca="false">SUM(G20:J20)</f>
        <v>548.33</v>
      </c>
      <c r="L20" s="33" t="n">
        <f aca="false">Assumptions!L14</f>
        <v>137</v>
      </c>
      <c r="M20" s="33" t="n">
        <f aca="false">Assumptions!M14</f>
        <v>137</v>
      </c>
      <c r="N20" s="33" t="n">
        <f aca="false">Assumptions!N14</f>
        <v>137</v>
      </c>
      <c r="O20" s="33" t="n">
        <f aca="false">Assumptions!O14</f>
        <v>137</v>
      </c>
      <c r="P20" s="32" t="n">
        <f aca="false">SUM(L20:O20)</f>
        <v>548</v>
      </c>
      <c r="Q20" s="33" t="n">
        <f aca="false">Assumptions!Q14</f>
        <v>137</v>
      </c>
      <c r="R20" s="33" t="n">
        <f aca="false">Assumptions!R14</f>
        <v>137</v>
      </c>
      <c r="S20" s="33" t="n">
        <f aca="false">Assumptions!S14</f>
        <v>137</v>
      </c>
      <c r="T20" s="33" t="n">
        <f aca="false">Assumptions!T14</f>
        <v>137</v>
      </c>
      <c r="U20" s="32" t="n">
        <f aca="false">SUM(Q20:T20)</f>
        <v>548</v>
      </c>
      <c r="W20" s="6" t="s">
        <v>145</v>
      </c>
    </row>
    <row r="21" customFormat="false" ht="15" hidden="false" customHeight="true" outlineLevel="0" collapsed="false">
      <c r="A21" s="12" t="s">
        <v>146</v>
      </c>
      <c r="B21" s="48" t="n">
        <f aca="false">B18+B20</f>
        <v>-234.970000000001</v>
      </c>
      <c r="C21" s="48" t="n">
        <f aca="false">C18+C20</f>
        <v>-366.649999999999</v>
      </c>
      <c r="D21" s="48" t="n">
        <f aca="false">D18+D20</f>
        <v>-400</v>
      </c>
      <c r="E21" s="48" t="n">
        <f aca="false">E18+E20</f>
        <v>-1500</v>
      </c>
      <c r="F21" s="49" t="n">
        <f aca="false">SUM(B21:E21)</f>
        <v>-2501.62</v>
      </c>
      <c r="G21" s="48" t="n">
        <f aca="false">G18+G20</f>
        <v>363.042</v>
      </c>
      <c r="H21" s="48" t="n">
        <f aca="false">H18+H20</f>
        <v>932.984382820116</v>
      </c>
      <c r="I21" s="48" t="n">
        <f aca="false">I18+I20</f>
        <v>1051.99213291393</v>
      </c>
      <c r="J21" s="48" t="n">
        <f aca="false">J18+J20</f>
        <v>1110.56648266832</v>
      </c>
      <c r="K21" s="49" t="n">
        <f aca="false">SUM(G21:J21)</f>
        <v>3458.58499840237</v>
      </c>
      <c r="L21" s="48" t="n">
        <f aca="false">L18+L20</f>
        <v>1127.10937088</v>
      </c>
      <c r="M21" s="48" t="n">
        <f aca="false">M18+M20</f>
        <v>996.663133445725</v>
      </c>
      <c r="N21" s="48" t="n">
        <f aca="false">N18+N20</f>
        <v>1049.17677250497</v>
      </c>
      <c r="O21" s="48" t="n">
        <f aca="false">O18+O20</f>
        <v>1060.22597185718</v>
      </c>
      <c r="P21" s="49" t="n">
        <f aca="false">SUM(L21:O21)</f>
        <v>4233.17524868787</v>
      </c>
      <c r="Q21" s="48" t="n">
        <f aca="false">Q18+Q20</f>
        <v>1206.3181205504</v>
      </c>
      <c r="R21" s="48" t="n">
        <f aca="false">R18+R20</f>
        <v>1065.43618412138</v>
      </c>
      <c r="S21" s="48" t="n">
        <f aca="false">S18+S20</f>
        <v>1122.15091430536</v>
      </c>
      <c r="T21" s="48" t="n">
        <f aca="false">T18+T20</f>
        <v>1134.08404960575</v>
      </c>
      <c r="U21" s="49" t="n">
        <f aca="false">SUM(Q21:T21)</f>
        <v>4527.9892685829</v>
      </c>
    </row>
    <row r="22" customFormat="false" ht="15" hidden="false" customHeight="true" outlineLevel="0" collapsed="false">
      <c r="A22" s="22" t="s">
        <v>147</v>
      </c>
      <c r="B22" s="31" t="n">
        <v>0</v>
      </c>
      <c r="C22" s="31" t="n">
        <v>0</v>
      </c>
      <c r="D22" s="31" t="n">
        <v>0</v>
      </c>
      <c r="E22" s="31" t="n">
        <v>0</v>
      </c>
      <c r="F22" s="32" t="n">
        <f aca="false">SUM(B22:E22)</f>
        <v>0</v>
      </c>
      <c r="G22" s="31" t="n">
        <v>171.874</v>
      </c>
      <c r="H22" s="33" t="n">
        <f aca="false">H21*Assumptions!H13</f>
        <v>279.895314846035</v>
      </c>
      <c r="I22" s="33" t="n">
        <f aca="false">I21*Assumptions!I13</f>
        <v>315.597639874179</v>
      </c>
      <c r="J22" s="33" t="n">
        <f aca="false">J21*Assumptions!J13</f>
        <v>333.169944800496</v>
      </c>
      <c r="K22" s="32" t="n">
        <f aca="false">SUM(G22:J22)</f>
        <v>1100.53689952071</v>
      </c>
      <c r="L22" s="33" t="n">
        <f aca="false">L21*Assumptions!L13</f>
        <v>338.132811264</v>
      </c>
      <c r="M22" s="33" t="n">
        <f aca="false">M21*Assumptions!M13</f>
        <v>298.998940033718</v>
      </c>
      <c r="N22" s="33" t="n">
        <f aca="false">N21*Assumptions!N13</f>
        <v>314.75303175149</v>
      </c>
      <c r="O22" s="33" t="n">
        <f aca="false">O21*Assumptions!O13</f>
        <v>318.067791557153</v>
      </c>
      <c r="P22" s="32" t="n">
        <f aca="false">SUM(L22:O22)</f>
        <v>1269.95257460636</v>
      </c>
      <c r="Q22" s="33" t="n">
        <f aca="false">Q21*Assumptions!Q13</f>
        <v>361.89543616512</v>
      </c>
      <c r="R22" s="33" t="n">
        <f aca="false">R21*Assumptions!R13</f>
        <v>319.630855236415</v>
      </c>
      <c r="S22" s="33" t="n">
        <f aca="false">S21*Assumptions!S13</f>
        <v>336.645274291609</v>
      </c>
      <c r="T22" s="33" t="n">
        <f aca="false">T21*Assumptions!T13</f>
        <v>340.225214881726</v>
      </c>
      <c r="U22" s="32" t="n">
        <f aca="false">SUM(Q22:T22)</f>
        <v>1358.39678057487</v>
      </c>
      <c r="W22" s="6" t="s">
        <v>148</v>
      </c>
    </row>
    <row r="24" customFormat="false" ht="15" hidden="false" customHeight="true" outlineLevel="0" collapsed="false">
      <c r="A24" s="37" t="s">
        <v>149</v>
      </c>
      <c r="B24" s="40" t="n">
        <f aca="false">B21-B22</f>
        <v>-234.970000000001</v>
      </c>
      <c r="C24" s="40" t="n">
        <f aca="false">C21-C22</f>
        <v>-366.649999999999</v>
      </c>
      <c r="D24" s="40" t="n">
        <f aca="false">D21-D22</f>
        <v>-400</v>
      </c>
      <c r="E24" s="40" t="n">
        <f aca="false">E21-E22</f>
        <v>-1500</v>
      </c>
      <c r="F24" s="39" t="n">
        <f aca="false">SUM(B24:E24)</f>
        <v>-2501.62</v>
      </c>
      <c r="G24" s="40" t="n">
        <f aca="false">G21-G22</f>
        <v>191.168</v>
      </c>
      <c r="H24" s="40" t="n">
        <f aca="false">H21-H22</f>
        <v>653.089067974081</v>
      </c>
      <c r="I24" s="40" t="n">
        <f aca="false">I21-I22</f>
        <v>736.394493039752</v>
      </c>
      <c r="J24" s="40" t="n">
        <f aca="false">J21-J22</f>
        <v>777.396537867825</v>
      </c>
      <c r="K24" s="39" t="n">
        <f aca="false">SUM(G24:J24)</f>
        <v>2358.04809888166</v>
      </c>
      <c r="L24" s="40" t="n">
        <f aca="false">L21-L22</f>
        <v>788.976559616001</v>
      </c>
      <c r="M24" s="40" t="n">
        <f aca="false">M21-M22</f>
        <v>697.664193412008</v>
      </c>
      <c r="N24" s="40" t="n">
        <f aca="false">N21-N22</f>
        <v>734.423740753476</v>
      </c>
      <c r="O24" s="40" t="n">
        <f aca="false">O21-O22</f>
        <v>742.158180300025</v>
      </c>
      <c r="P24" s="39" t="n">
        <f aca="false">SUM(L24:O24)</f>
        <v>2963.22267408151</v>
      </c>
      <c r="Q24" s="40" t="n">
        <f aca="false">Q21-Q22</f>
        <v>844.42268438528</v>
      </c>
      <c r="R24" s="40" t="n">
        <f aca="false">R21-R22</f>
        <v>745.805328884968</v>
      </c>
      <c r="S24" s="40" t="n">
        <f aca="false">S21-S22</f>
        <v>785.505640013754</v>
      </c>
      <c r="T24" s="40" t="n">
        <f aca="false">T21-T22</f>
        <v>793.858834724027</v>
      </c>
      <c r="U24" s="39" t="n">
        <f aca="false">SUM(Q24:T24)</f>
        <v>3169.59248800803</v>
      </c>
    </row>
    <row r="25" customFormat="false" ht="15" hidden="false" customHeight="true" outlineLevel="0" collapsed="false">
      <c r="A25" s="6" t="s">
        <v>150</v>
      </c>
      <c r="B25" s="41" t="n">
        <f aca="false">B24/B6</f>
        <v>-0.0106760628014385</v>
      </c>
      <c r="C25" s="41" t="n">
        <f aca="false">C24/C6</f>
        <v>-0.0183683274226378</v>
      </c>
      <c r="D25" s="41" t="n">
        <f aca="false">D24/D6</f>
        <v>-0.0188854443412198</v>
      </c>
      <c r="E25" s="41" t="n">
        <f aca="false">E24/E6</f>
        <v>-0.0674460431654676</v>
      </c>
      <c r="F25" s="42" t="n">
        <f aca="false">F24/F6</f>
        <v>-0.0292962767594422</v>
      </c>
      <c r="G25" s="41" t="n">
        <f aca="false">G24/G6</f>
        <v>0.00750685940220316</v>
      </c>
      <c r="H25" s="41" t="n">
        <f aca="false">H24/H6</f>
        <v>0.0295372710250525</v>
      </c>
      <c r="I25" s="41" t="n">
        <f aca="false">I24/I6</f>
        <v>0.0313875761282112</v>
      </c>
      <c r="J25" s="41" t="n">
        <f aca="false">J24/J6</f>
        <v>0.0327386558802061</v>
      </c>
      <c r="K25" s="42" t="n">
        <f aca="false">K24/K6</f>
        <v>0.0248783039876224</v>
      </c>
      <c r="L25" s="41" t="n">
        <f aca="false">L24/L6</f>
        <v>0.028686887511156</v>
      </c>
      <c r="M25" s="41" t="n">
        <f aca="false">M24/M6</f>
        <v>0.0292159916898634</v>
      </c>
      <c r="N25" s="41" t="n">
        <f aca="false">N24/N6</f>
        <v>0.0289847927113066</v>
      </c>
      <c r="O25" s="41" t="n">
        <f aca="false">O24/O6</f>
        <v>0.028939496185376</v>
      </c>
      <c r="P25" s="42" t="n">
        <f aca="false">P24/P6</f>
        <v>0.0289473387473003</v>
      </c>
      <c r="Q25" s="41" t="n">
        <f aca="false">Q24/Q6</f>
        <v>0.0284285995473667</v>
      </c>
      <c r="R25" s="41" t="n">
        <f aca="false">R24/R6</f>
        <v>0.0289185108239476</v>
      </c>
      <c r="S25" s="41" t="n">
        <f aca="false">S24/S6</f>
        <v>0.0287044376956543</v>
      </c>
      <c r="T25" s="41" t="n">
        <f aca="false">T24/T6</f>
        <v>0.0286624964679408</v>
      </c>
      <c r="U25" s="42" t="n">
        <f aca="false">U24/U6</f>
        <v>0.0286697580993521</v>
      </c>
    </row>
    <row r="27" customFormat="false" ht="15" hidden="false" customHeight="true" outlineLevel="0" collapsed="false">
      <c r="A27" s="51" t="s">
        <v>69</v>
      </c>
      <c r="B27" s="52" t="n">
        <v>26615.947</v>
      </c>
      <c r="C27" s="52" t="n">
        <v>26850</v>
      </c>
      <c r="D27" s="52" t="n">
        <v>27000</v>
      </c>
      <c r="E27" s="52" t="n">
        <v>27300</v>
      </c>
      <c r="F27" s="53" t="n">
        <f aca="false">AVERAGE(B27:E27)</f>
        <v>26941.48675</v>
      </c>
      <c r="G27" s="52" t="n">
        <v>27748.037</v>
      </c>
      <c r="H27" s="54" t="n">
        <f aca="false">Assumptions!H15</f>
        <v>27800</v>
      </c>
      <c r="I27" s="54" t="n">
        <f aca="false">Assumptions!I15</f>
        <v>27800</v>
      </c>
      <c r="J27" s="54" t="n">
        <f aca="false">Assumptions!J15</f>
        <v>27800</v>
      </c>
      <c r="K27" s="53" t="n">
        <f aca="false">AVERAGE(G27:J27)</f>
        <v>27787.00925</v>
      </c>
      <c r="L27" s="54" t="n">
        <f aca="false">Assumptions!L15</f>
        <v>27800</v>
      </c>
      <c r="M27" s="54" t="n">
        <f aca="false">Assumptions!M15</f>
        <v>27800</v>
      </c>
      <c r="N27" s="54" t="n">
        <f aca="false">Assumptions!N15</f>
        <v>27800</v>
      </c>
      <c r="O27" s="54" t="n">
        <f aca="false">Assumptions!O15</f>
        <v>27800</v>
      </c>
      <c r="P27" s="53" t="n">
        <f aca="false">AVERAGE(L27:O27)</f>
        <v>27800</v>
      </c>
      <c r="Q27" s="54" t="n">
        <f aca="false">Assumptions!Q15</f>
        <v>27800</v>
      </c>
      <c r="R27" s="54" t="n">
        <f aca="false">Assumptions!R15</f>
        <v>27800</v>
      </c>
      <c r="S27" s="54" t="n">
        <f aca="false">Assumptions!S15</f>
        <v>27800</v>
      </c>
      <c r="T27" s="54" t="n">
        <f aca="false">Assumptions!T15</f>
        <v>27800</v>
      </c>
      <c r="U27" s="53" t="n">
        <f aca="false">AVERAGE(Q27:T27)</f>
        <v>27800</v>
      </c>
      <c r="W27" s="6" t="s">
        <v>151</v>
      </c>
    </row>
    <row r="28" customFormat="false" ht="15" hidden="false" customHeight="true" outlineLevel="0" collapsed="false">
      <c r="A28" s="12" t="s">
        <v>152</v>
      </c>
      <c r="B28" s="55" t="n">
        <f aca="false">B24/B27</f>
        <v>-0.00882816606149692</v>
      </c>
      <c r="C28" s="55" t="n">
        <f aca="false">C24/C27</f>
        <v>-0.0136554934823091</v>
      </c>
      <c r="D28" s="55" t="n">
        <f aca="false">D24/D27</f>
        <v>-0.0148148148148148</v>
      </c>
      <c r="E28" s="55" t="n">
        <f aca="false">E24/E27</f>
        <v>-0.0549450549450549</v>
      </c>
      <c r="F28" s="56" t="n">
        <f aca="false">F24/F27</f>
        <v>-0.0928538214395314</v>
      </c>
      <c r="G28" s="55" t="n">
        <f aca="false">G24/G27</f>
        <v>0.00688942428612156</v>
      </c>
      <c r="H28" s="55" t="n">
        <f aca="false">H24/H27</f>
        <v>0.0234924125170533</v>
      </c>
      <c r="I28" s="55" t="n">
        <f aca="false">I24/I27</f>
        <v>0.0264890105409983</v>
      </c>
      <c r="J28" s="55" t="n">
        <f aca="false">J24/J27</f>
        <v>0.0279639042398498</v>
      </c>
      <c r="K28" s="56" t="n">
        <f aca="false">K24/K27</f>
        <v>0.0848615292731317</v>
      </c>
      <c r="L28" s="55" t="n">
        <f aca="false">L24/L27</f>
        <v>0.0283804517847482</v>
      </c>
      <c r="M28" s="55" t="n">
        <f aca="false">M24/M27</f>
        <v>0.025095834295396</v>
      </c>
      <c r="N28" s="55" t="n">
        <f aca="false">N24/N27</f>
        <v>0.0264181201709884</v>
      </c>
      <c r="O28" s="55" t="n">
        <f aca="false">O24/O27</f>
        <v>0.0266963374208642</v>
      </c>
      <c r="P28" s="56" t="n">
        <f aca="false">P24/P27</f>
        <v>0.106590743671997</v>
      </c>
      <c r="Q28" s="55" t="n">
        <f aca="false">Q24/Q27</f>
        <v>0.0303749167045065</v>
      </c>
      <c r="R28" s="55" t="n">
        <f aca="false">R24/R27</f>
        <v>0.0268275298160061</v>
      </c>
      <c r="S28" s="55" t="n">
        <f aca="false">S24/S27</f>
        <v>0.0282555985616458</v>
      </c>
      <c r="T28" s="55" t="n">
        <f aca="false">T24/T27</f>
        <v>0.0285560731915118</v>
      </c>
      <c r="U28" s="56" t="n">
        <f aca="false">U24/U27</f>
        <v>0.11401411827367</v>
      </c>
    </row>
    <row r="30" customFormat="false" ht="15" hidden="false" customHeight="true" outlineLevel="0" collapsed="false">
      <c r="A30" s="46" t="s">
        <v>153</v>
      </c>
      <c r="B30" s="47"/>
      <c r="C30" s="47"/>
      <c r="D30" s="47"/>
      <c r="E30" s="47"/>
      <c r="F30" s="47"/>
      <c r="G30" s="47"/>
      <c r="H30" s="47"/>
      <c r="I30" s="47"/>
      <c r="J30" s="47"/>
      <c r="K30" s="47"/>
      <c r="L30" s="47"/>
      <c r="M30" s="47"/>
      <c r="N30" s="47"/>
      <c r="O30" s="47"/>
      <c r="P30" s="47"/>
      <c r="Q30" s="47"/>
      <c r="R30" s="47"/>
      <c r="S30" s="47"/>
      <c r="T30" s="47"/>
      <c r="U30" s="47"/>
    </row>
    <row r="31" customFormat="false" ht="15" hidden="false" customHeight="true" outlineLevel="0" collapsed="false">
      <c r="A31" s="22" t="s">
        <v>154</v>
      </c>
      <c r="B31" s="33" t="n">
        <f aca="false">B18+B15</f>
        <v>256.185999999999</v>
      </c>
      <c r="C31" s="33" t="n">
        <f aca="false">C18+C15</f>
        <v>911.946000000001</v>
      </c>
      <c r="D31" s="33" t="n">
        <f aca="false">D18+D15</f>
        <v>368.257</v>
      </c>
      <c r="E31" s="33" t="n">
        <f aca="false">E18+E15</f>
        <v>1529.575</v>
      </c>
      <c r="F31" s="32" t="n">
        <f aca="false">SUM(B31:E31)</f>
        <v>3065.964</v>
      </c>
      <c r="G31" s="33" t="n">
        <f aca="false">G18+G15</f>
        <v>451.457</v>
      </c>
      <c r="H31" s="33" t="n">
        <f aca="false">H18+H15</f>
        <v>1039.20183312626</v>
      </c>
      <c r="I31" s="33" t="n">
        <f aca="false">I18+I15</f>
        <v>1173.06683706914</v>
      </c>
      <c r="J31" s="33" t="n">
        <f aca="false">J18+J15</f>
        <v>1234.76724631104</v>
      </c>
      <c r="K31" s="32" t="n">
        <f aca="false">SUM(G31:J31)</f>
        <v>3898.49291650645</v>
      </c>
      <c r="L31" s="33" t="n">
        <f aca="false">L18+L15</f>
        <v>1292.64278976</v>
      </c>
      <c r="M31" s="33" t="n">
        <f aca="false">M18+M15</f>
        <v>1122.33797977636</v>
      </c>
      <c r="N31" s="33" t="n">
        <f aca="false">N18+N15</f>
        <v>1190.89745299259</v>
      </c>
      <c r="O31" s="33" t="n">
        <f aca="false">O18+O15</f>
        <v>1205.32279659132</v>
      </c>
      <c r="P31" s="32" t="n">
        <f aca="false">SUM(L31:O31)</f>
        <v>4811.20101912027</v>
      </c>
      <c r="Q31" s="33" t="n">
        <f aca="false">Q18+Q15</f>
        <v>1396.0542129408</v>
      </c>
      <c r="R31" s="33" t="n">
        <f aca="false">R18+R15</f>
        <v>1212.12501815847</v>
      </c>
      <c r="S31" s="33" t="n">
        <f aca="false">S18+S15</f>
        <v>1286.169249232</v>
      </c>
      <c r="T31" s="33" t="n">
        <f aca="false">T18+T15</f>
        <v>1301.74862031862</v>
      </c>
      <c r="U31" s="32" t="n">
        <f aca="false">SUM(Q31:T31)</f>
        <v>5196.0971006499</v>
      </c>
    </row>
    <row r="32" customFormat="false" ht="15" hidden="false" customHeight="true" outlineLevel="0" collapsed="false">
      <c r="A32" s="22" t="s">
        <v>155</v>
      </c>
      <c r="B32" s="33" t="n">
        <f aca="false">B31+B13</f>
        <v>666.247999999999</v>
      </c>
      <c r="C32" s="33" t="n">
        <f aca="false">C31+C13</f>
        <v>1346.201</v>
      </c>
      <c r="D32" s="33" t="n">
        <f aca="false">D31+D13</f>
        <v>767.839</v>
      </c>
      <c r="E32" s="33" t="n">
        <f aca="false">E31+E13</f>
        <v>1845.205</v>
      </c>
      <c r="F32" s="32" t="n">
        <f aca="false">SUM(B32:E32)</f>
        <v>4625.493</v>
      </c>
      <c r="G32" s="33" t="n">
        <f aca="false">G31+G13</f>
        <v>780.741</v>
      </c>
      <c r="H32" s="33" t="n">
        <f aca="false">H31+H13</f>
        <v>1326.64063803353</v>
      </c>
      <c r="I32" s="33" t="n">
        <f aca="false">I31+I13</f>
        <v>1478.06421470712</v>
      </c>
      <c r="J32" s="33" t="n">
        <f aca="false">J31+J13</f>
        <v>1543.4590578888</v>
      </c>
      <c r="K32" s="32" t="n">
        <f aca="false">SUM(G32:J32)</f>
        <v>5128.90491062945</v>
      </c>
      <c r="L32" s="33" t="n">
        <f aca="false">L31+L13</f>
        <v>1650.1822848</v>
      </c>
      <c r="M32" s="33" t="n">
        <f aca="false">M31+M13</f>
        <v>1432.77188907621</v>
      </c>
      <c r="N32" s="33" t="n">
        <f aca="false">N31+N13</f>
        <v>1520.29462084161</v>
      </c>
      <c r="O32" s="33" t="n">
        <f aca="false">O31+O13</f>
        <v>1538.7099530953</v>
      </c>
      <c r="P32" s="32" t="n">
        <f aca="false">SUM(L32:O32)</f>
        <v>6141.95874781311</v>
      </c>
      <c r="Q32" s="33" t="n">
        <f aca="false">Q31+Q13</f>
        <v>1782.196867584</v>
      </c>
      <c r="R32" s="33" t="n">
        <f aca="false">R31+R13</f>
        <v>1547.39364020231</v>
      </c>
      <c r="S32" s="33" t="n">
        <f aca="false">S31+S13</f>
        <v>1641.91819050894</v>
      </c>
      <c r="T32" s="33" t="n">
        <f aca="false">T31+T13</f>
        <v>1661.80674934292</v>
      </c>
      <c r="U32" s="32" t="n">
        <f aca="false">SUM(Q32:T32)</f>
        <v>6633.31544763816</v>
      </c>
      <c r="W32" s="6" t="s">
        <v>156</v>
      </c>
    </row>
    <row r="33" customFormat="false" ht="15" hidden="false" customHeight="true" outlineLevel="0" collapsed="false">
      <c r="A33" s="6" t="s">
        <v>157</v>
      </c>
      <c r="B33" s="41" t="n">
        <f aca="false">B32/B6</f>
        <v>0.0302715473861888</v>
      </c>
      <c r="C33" s="41" t="n">
        <f aca="false">C32/C6</f>
        <v>0.0674415948307173</v>
      </c>
      <c r="D33" s="41" t="n">
        <f aca="false">D32/D6</f>
        <v>0.0362524517437946</v>
      </c>
      <c r="E33" s="41" t="n">
        <f aca="false">E32/E6</f>
        <v>0.0829678507194245</v>
      </c>
      <c r="F33" s="42" t="n">
        <f aca="false">F32/F6</f>
        <v>0.0541687878562142</v>
      </c>
      <c r="G33" s="41" t="n">
        <f aca="false">G32/G6</f>
        <v>0.030658441352818</v>
      </c>
      <c r="H33" s="41" t="n">
        <f aca="false">H32/H6</f>
        <v>0.06</v>
      </c>
      <c r="I33" s="41" t="n">
        <f aca="false">I32/I6</f>
        <v>0.063</v>
      </c>
      <c r="J33" s="41" t="n">
        <f aca="false">J32/J6</f>
        <v>0.065</v>
      </c>
      <c r="K33" s="42" t="n">
        <f aca="false">K32/K6</f>
        <v>0.0541118968483995</v>
      </c>
      <c r="L33" s="41" t="n">
        <f aca="false">L32/L6</f>
        <v>0.06</v>
      </c>
      <c r="M33" s="41" t="n">
        <f aca="false">M32/M6</f>
        <v>0.06</v>
      </c>
      <c r="N33" s="41" t="n">
        <f aca="false">N32/N6</f>
        <v>0.06</v>
      </c>
      <c r="O33" s="41" t="n">
        <f aca="false">O32/O6</f>
        <v>0.06</v>
      </c>
      <c r="P33" s="42" t="n">
        <f aca="false">P32/P6</f>
        <v>0.06</v>
      </c>
      <c r="Q33" s="41" t="n">
        <f aca="false">Q32/Q6</f>
        <v>0.06</v>
      </c>
      <c r="R33" s="41" t="n">
        <f aca="false">R32/R6</f>
        <v>0.06</v>
      </c>
      <c r="S33" s="41" t="n">
        <f aca="false">S32/S6</f>
        <v>0.06</v>
      </c>
      <c r="T33" s="41" t="n">
        <f aca="false">T32/T6</f>
        <v>0.06</v>
      </c>
      <c r="U33" s="42" t="n">
        <f aca="false">U32/U6</f>
        <v>0.06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1" min="2" style="1" width="10"/>
    <col collapsed="false" customWidth="true" hidden="false" outlineLevel="0" max="23" min="23" style="1" width="100"/>
  </cols>
  <sheetData>
    <row r="1" customFormat="false" ht="17.25" hidden="false" customHeight="true" outlineLevel="0" collapsed="false">
      <c r="A1" s="2" t="s">
        <v>158</v>
      </c>
    </row>
    <row r="2" customFormat="false" ht="15" hidden="false" customHeight="true" outlineLevel="0" collapsed="false">
      <c r="A2" s="6" t="s">
        <v>159</v>
      </c>
    </row>
    <row r="4" customFormat="false" ht="15" hidden="false" customHeight="true" outlineLevel="0" collapsed="false">
      <c r="A4" s="21" t="s">
        <v>160</v>
      </c>
      <c r="B4" s="8" t="s">
        <v>34</v>
      </c>
      <c r="C4" s="8" t="s">
        <v>35</v>
      </c>
      <c r="D4" s="8" t="s">
        <v>36</v>
      </c>
      <c r="E4" s="8" t="s">
        <v>37</v>
      </c>
      <c r="F4" s="9" t="s">
        <v>38</v>
      </c>
      <c r="G4" s="8" t="s">
        <v>39</v>
      </c>
      <c r="H4" s="8" t="s">
        <v>40</v>
      </c>
      <c r="I4" s="8" t="s">
        <v>41</v>
      </c>
      <c r="J4" s="8" t="s">
        <v>42</v>
      </c>
      <c r="K4" s="9" t="s">
        <v>43</v>
      </c>
      <c r="L4" s="8" t="s">
        <v>44</v>
      </c>
      <c r="M4" s="8" t="s">
        <v>45</v>
      </c>
      <c r="N4" s="8" t="s">
        <v>46</v>
      </c>
      <c r="O4" s="8" t="s">
        <v>47</v>
      </c>
      <c r="P4" s="9" t="s">
        <v>48</v>
      </c>
      <c r="Q4" s="8" t="s">
        <v>49</v>
      </c>
      <c r="R4" s="8" t="s">
        <v>50</v>
      </c>
      <c r="S4" s="8" t="s">
        <v>51</v>
      </c>
      <c r="T4" s="8" t="s">
        <v>52</v>
      </c>
      <c r="U4" s="9" t="s">
        <v>53</v>
      </c>
    </row>
    <row r="6" customFormat="false" ht="15" hidden="false" customHeight="true" outlineLevel="0" collapsed="false">
      <c r="A6" s="10" t="s">
        <v>161</v>
      </c>
      <c r="B6" s="11"/>
      <c r="C6" s="11"/>
      <c r="D6" s="11"/>
      <c r="E6" s="11"/>
      <c r="F6" s="11"/>
      <c r="G6" s="11"/>
      <c r="H6" s="11"/>
      <c r="I6" s="11"/>
      <c r="J6" s="11"/>
      <c r="K6" s="11"/>
      <c r="L6" s="11"/>
      <c r="M6" s="11"/>
      <c r="N6" s="11"/>
      <c r="O6" s="11"/>
      <c r="P6" s="11"/>
      <c r="Q6" s="11"/>
      <c r="R6" s="11"/>
      <c r="S6" s="11"/>
      <c r="T6" s="11"/>
      <c r="U6" s="11"/>
    </row>
    <row r="7" customFormat="false" ht="15" hidden="false" customHeight="true" outlineLevel="0" collapsed="false">
      <c r="A7" s="12" t="s">
        <v>162</v>
      </c>
    </row>
    <row r="8" customFormat="false" ht="15" hidden="false" customHeight="true" outlineLevel="0" collapsed="false">
      <c r="A8" s="22" t="s">
        <v>163</v>
      </c>
      <c r="B8" s="57" t="n">
        <f aca="false">7500+($E8-7500)/4*1</f>
        <v>7483.51275</v>
      </c>
      <c r="C8" s="57" t="n">
        <f aca="false">7500+($E8-7500)/4*2</f>
        <v>7467.0255</v>
      </c>
      <c r="D8" s="57" t="n">
        <f aca="false">7500+($E8-7500)/4*3</f>
        <v>7450.53825</v>
      </c>
      <c r="E8" s="31" t="n">
        <v>7434.051</v>
      </c>
      <c r="F8" s="44" t="n">
        <f aca="false">E8</f>
        <v>7434.051</v>
      </c>
      <c r="G8" s="31" t="n">
        <v>7728.795</v>
      </c>
      <c r="H8" s="45" t="n">
        <f aca="false">'Cash Flow Statement'!H21</f>
        <v>8874.10321393819</v>
      </c>
      <c r="I8" s="45" t="n">
        <f aca="false">'Cash Flow Statement'!I21</f>
        <v>9843.05580754916</v>
      </c>
      <c r="J8" s="45" t="n">
        <f aca="false">'Cash Flow Statement'!J21</f>
        <v>10865.1342019739</v>
      </c>
      <c r="K8" s="44" t="n">
        <f aca="false">J8</f>
        <v>10865.1342019739</v>
      </c>
      <c r="L8" s="45" t="n">
        <f aca="false">'Cash Flow Statement'!L21</f>
        <v>11968.4774176921</v>
      </c>
      <c r="M8" s="45" t="n">
        <f aca="false">'Cash Flow Statement'!M21</f>
        <v>12846.3146398197</v>
      </c>
      <c r="N8" s="45" t="n">
        <f aca="false">'Cash Flow Statement'!N21</f>
        <v>13835.1555681244</v>
      </c>
      <c r="O8" s="45" t="n">
        <f aca="false">'Cash Flow Statement'!O21</f>
        <v>14826.7072356971</v>
      </c>
      <c r="P8" s="44" t="n">
        <f aca="false">O8</f>
        <v>14826.7072356971</v>
      </c>
      <c r="Q8" s="45" t="n">
        <f aca="false">'Cash Flow Statement'!Q21</f>
        <v>16019.7791463799</v>
      </c>
      <c r="R8" s="45" t="n">
        <f aca="false">'Cash Flow Statement'!R21</f>
        <v>16978.6058711727</v>
      </c>
      <c r="S8" s="45" t="n">
        <f aca="false">'Cash Flow Statement'!S21</f>
        <v>18056.7824723921</v>
      </c>
      <c r="T8" s="45" t="n">
        <f aca="false">'Cash Flow Statement'!T21</f>
        <v>19137.3792520884</v>
      </c>
      <c r="U8" s="44" t="n">
        <f aca="false">T8</f>
        <v>19137.3792520884</v>
      </c>
      <c r="W8" s="6" t="s">
        <v>164</v>
      </c>
    </row>
    <row r="9" customFormat="false" ht="15" hidden="false" customHeight="true" outlineLevel="0" collapsed="false">
      <c r="A9" s="22" t="s">
        <v>165</v>
      </c>
      <c r="B9" s="57" t="n">
        <f aca="false">'Income Statement'!B6/91*19</f>
        <v>4595.29615384615</v>
      </c>
      <c r="C9" s="57" t="n">
        <f aca="false">'Income Statement'!C6/91*19</f>
        <v>4167.67923076923</v>
      </c>
      <c r="D9" s="57" t="n">
        <f aca="false">'Income Statement'!D6/91*19</f>
        <v>4422.26732967033</v>
      </c>
      <c r="E9" s="31" t="n">
        <v>5274.586</v>
      </c>
      <c r="F9" s="44" t="n">
        <f aca="false">E9</f>
        <v>5274.586</v>
      </c>
      <c r="G9" s="31" t="n">
        <v>5418.653</v>
      </c>
      <c r="H9" s="45" t="n">
        <f aca="false">'Income Statement'!H6/91*Assumptions!H18</f>
        <v>4616.51504077601</v>
      </c>
      <c r="I9" s="45" t="n">
        <f aca="false">'Income Statement'!I6/91*Assumptions!I18</f>
        <v>4898.52085809093</v>
      </c>
      <c r="J9" s="45" t="n">
        <f aca="false">'Income Statement'!J6/91*Assumptions!J18</f>
        <v>4957.85665255912</v>
      </c>
      <c r="K9" s="44" t="n">
        <f aca="false">J9</f>
        <v>4957.85665255912</v>
      </c>
      <c r="L9" s="45" t="n">
        <f aca="false">'Income Statement'!L6/91*Assumptions!L18</f>
        <v>5742.39256615385</v>
      </c>
      <c r="M9" s="45" t="n">
        <f aca="false">'Income Statement'!M6/91*Assumptions!M18</f>
        <v>4985.83624403809</v>
      </c>
      <c r="N9" s="45" t="n">
        <f aca="false">'Income Statement'!N6/91*Assumptions!N18</f>
        <v>5290.4025267382</v>
      </c>
      <c r="O9" s="45" t="n">
        <f aca="false">'Income Statement'!O6/91*Assumptions!O18</f>
        <v>5354.48518476385</v>
      </c>
      <c r="P9" s="44" t="n">
        <f aca="false">O9</f>
        <v>5354.48518476385</v>
      </c>
      <c r="Q9" s="45" t="n">
        <f aca="false">'Income Statement'!Q6/91*Assumptions!Q18</f>
        <v>6201.78397144615</v>
      </c>
      <c r="R9" s="45" t="n">
        <f aca="false">'Income Statement'!R6/91*Assumptions!R18</f>
        <v>5384.70314356114</v>
      </c>
      <c r="S9" s="45" t="n">
        <f aca="false">'Income Statement'!S6/91*Assumptions!S18</f>
        <v>5713.63472887726</v>
      </c>
      <c r="T9" s="45" t="n">
        <f aca="false">'Income Statement'!T6/91*Assumptions!T18</f>
        <v>5782.84399954496</v>
      </c>
      <c r="U9" s="44" t="n">
        <f aca="false">T9</f>
        <v>5782.84399954496</v>
      </c>
      <c r="W9" s="6" t="s">
        <v>166</v>
      </c>
    </row>
    <row r="10" customFormat="false" ht="15" hidden="false" customHeight="true" outlineLevel="0" collapsed="false">
      <c r="A10" s="22" t="s">
        <v>167</v>
      </c>
      <c r="B10" s="57" t="n">
        <f aca="false">'Income Statement'!B6*2.8</f>
        <v>61625.34</v>
      </c>
      <c r="C10" s="57" t="n">
        <f aca="false">'Income Statement'!C6*2.8</f>
        <v>55890.772</v>
      </c>
      <c r="D10" s="57" t="n">
        <f aca="false">'Income Statement'!D6*2.8</f>
        <v>59304.9324</v>
      </c>
      <c r="E10" s="31" t="n">
        <v>74180.475</v>
      </c>
      <c r="F10" s="44" t="n">
        <f aca="false">E10</f>
        <v>74180.475</v>
      </c>
      <c r="G10" s="31" t="n">
        <v>69522.444</v>
      </c>
      <c r="H10" s="45" t="n">
        <f aca="false">'Income Statement'!H6*Assumptions!H20</f>
        <v>61909.8964415646</v>
      </c>
      <c r="I10" s="45" t="n">
        <f aca="false">'Income Statement'!I6*Assumptions!I20</f>
        <v>65691.742875872</v>
      </c>
      <c r="J10" s="45" t="n">
        <f aca="false">'Income Statement'!J6*Assumptions!J20</f>
        <v>66487.467109056</v>
      </c>
      <c r="K10" s="44" t="n">
        <f aca="false">J10</f>
        <v>66487.467109056</v>
      </c>
      <c r="L10" s="45" t="n">
        <f aca="false">'Income Statement'!L6*Assumptions!L20</f>
        <v>77008.506624</v>
      </c>
      <c r="M10" s="45" t="n">
        <f aca="false">'Income Statement'!M6*Assumptions!M20</f>
        <v>66862.6881568897</v>
      </c>
      <c r="N10" s="45" t="n">
        <f aca="false">'Income Statement'!N6*Assumptions!N20</f>
        <v>70947.0823059418</v>
      </c>
      <c r="O10" s="45" t="n">
        <f aca="false">'Income Statement'!O6*Assumptions!O20</f>
        <v>71806.4644777805</v>
      </c>
      <c r="P10" s="44" t="n">
        <f aca="false">O10</f>
        <v>71806.4644777805</v>
      </c>
      <c r="Q10" s="45" t="n">
        <f aca="false">'Income Statement'!Q6*Assumptions!Q20</f>
        <v>83169.18715392</v>
      </c>
      <c r="R10" s="45" t="n">
        <f aca="false">'Income Statement'!R6*Assumptions!R20</f>
        <v>72211.7032094409</v>
      </c>
      <c r="S10" s="45" t="n">
        <f aca="false">'Income Statement'!S6*Assumptions!S20</f>
        <v>76622.8488904171</v>
      </c>
      <c r="T10" s="45" t="n">
        <f aca="false">'Income Statement'!T6*Assumptions!T20</f>
        <v>77550.9816360029</v>
      </c>
      <c r="U10" s="44" t="n">
        <f aca="false">T10</f>
        <v>77550.9816360029</v>
      </c>
      <c r="W10" s="6" t="s">
        <v>168</v>
      </c>
    </row>
    <row r="11" customFormat="false" ht="15" hidden="false" customHeight="true" outlineLevel="0" collapsed="false">
      <c r="A11" s="22" t="s">
        <v>169</v>
      </c>
      <c r="B11" s="57" t="n">
        <f aca="false">'Income Statement'!B6*0.65</f>
        <v>14305.8825</v>
      </c>
      <c r="C11" s="57" t="n">
        <f aca="false">'Income Statement'!C6*0.65</f>
        <v>12974.6435</v>
      </c>
      <c r="D11" s="57" t="n">
        <f aca="false">'Income Statement'!D6*0.65</f>
        <v>13767.21645</v>
      </c>
      <c r="E11" s="31" t="n">
        <v>27623.728</v>
      </c>
      <c r="F11" s="44" t="n">
        <f aca="false">E11</f>
        <v>27623.728</v>
      </c>
      <c r="G11" s="31" t="n">
        <v>15466.828</v>
      </c>
      <c r="H11" s="45" t="n">
        <f aca="false">'Income Statement'!H6*Assumptions!H21</f>
        <v>14371.9402453632</v>
      </c>
      <c r="I11" s="45" t="n">
        <f aca="false">'Income Statement'!I6*Assumptions!I21</f>
        <v>15249.8688818989</v>
      </c>
      <c r="J11" s="45" t="n">
        <f aca="false">'Income Statement'!J6*Assumptions!J21</f>
        <v>15434.590578888</v>
      </c>
      <c r="K11" s="44" t="n">
        <f aca="false">J11</f>
        <v>15434.590578888</v>
      </c>
      <c r="L11" s="45" t="n">
        <f aca="false">'Income Statement'!L6*Assumptions!L21</f>
        <v>17876.974752</v>
      </c>
      <c r="M11" s="45" t="n">
        <f aca="false">'Income Statement'!M6*Assumptions!M21</f>
        <v>15521.6954649923</v>
      </c>
      <c r="N11" s="45" t="n">
        <f aca="false">'Income Statement'!N6*Assumptions!N21</f>
        <v>16469.8583924508</v>
      </c>
      <c r="O11" s="45" t="n">
        <f aca="false">'Income Statement'!O6*Assumptions!O21</f>
        <v>16669.357825199</v>
      </c>
      <c r="P11" s="44" t="n">
        <f aca="false">O11</f>
        <v>16669.357825199</v>
      </c>
      <c r="Q11" s="45" t="n">
        <f aca="false">'Income Statement'!Q6*Assumptions!Q21</f>
        <v>19307.13273216</v>
      </c>
      <c r="R11" s="45" t="n">
        <f aca="false">'Income Statement'!R6*Assumptions!R21</f>
        <v>16763.4311021916</v>
      </c>
      <c r="S11" s="45" t="n">
        <f aca="false">'Income Statement'!S6*Assumptions!S21</f>
        <v>17787.4470638468</v>
      </c>
      <c r="T11" s="45" t="n">
        <f aca="false">'Income Statement'!T6*Assumptions!T21</f>
        <v>18002.906451215</v>
      </c>
      <c r="U11" s="44" t="n">
        <f aca="false">T11</f>
        <v>18002.906451215</v>
      </c>
      <c r="W11" s="6" t="s">
        <v>170</v>
      </c>
    </row>
    <row r="12" customFormat="false" ht="15" hidden="false" customHeight="true" outlineLevel="0" collapsed="false">
      <c r="A12" s="22" t="s">
        <v>171</v>
      </c>
      <c r="B12" s="57" t="n">
        <f aca="false">'Income Statement'!B6*0.1</f>
        <v>2200.905</v>
      </c>
      <c r="C12" s="57" t="n">
        <f aca="false">'Income Statement'!C6*0.1</f>
        <v>1996.099</v>
      </c>
      <c r="D12" s="57" t="n">
        <f aca="false">'Income Statement'!D6*0.1</f>
        <v>2118.0333</v>
      </c>
      <c r="E12" s="31" t="n">
        <v>2281.22</v>
      </c>
      <c r="F12" s="44" t="n">
        <f aca="false">E12</f>
        <v>2281.22</v>
      </c>
      <c r="G12" s="31" t="n">
        <v>2239.829</v>
      </c>
      <c r="H12" s="45" t="n">
        <f aca="false">'Income Statement'!H6*Assumptions!H22</f>
        <v>2211.06773005588</v>
      </c>
      <c r="I12" s="45" t="n">
        <f aca="false">'Income Statement'!I6*Assumptions!I22</f>
        <v>2346.13367413829</v>
      </c>
      <c r="J12" s="45" t="n">
        <f aca="false">'Income Statement'!J6*Assumptions!J22</f>
        <v>2374.552396752</v>
      </c>
      <c r="K12" s="44" t="n">
        <f aca="false">J12</f>
        <v>2374.552396752</v>
      </c>
      <c r="L12" s="45" t="n">
        <f aca="false">'Income Statement'!L6*Assumptions!L22</f>
        <v>2750.303808</v>
      </c>
      <c r="M12" s="45" t="n">
        <f aca="false">'Income Statement'!M6*Assumptions!M22</f>
        <v>2387.95314846035</v>
      </c>
      <c r="N12" s="45" t="n">
        <f aca="false">'Income Statement'!N6*Assumptions!N22</f>
        <v>2533.82436806935</v>
      </c>
      <c r="O12" s="45" t="n">
        <f aca="false">'Income Statement'!O6*Assumptions!O22</f>
        <v>2564.51658849216</v>
      </c>
      <c r="P12" s="44" t="n">
        <f aca="false">O12</f>
        <v>2564.51658849216</v>
      </c>
      <c r="Q12" s="45" t="n">
        <f aca="false">'Income Statement'!Q6*Assumptions!Q22</f>
        <v>2970.32811264</v>
      </c>
      <c r="R12" s="45" t="n">
        <f aca="false">'Income Statement'!R6*Assumptions!R22</f>
        <v>2578.98940033718</v>
      </c>
      <c r="S12" s="45" t="n">
        <f aca="false">'Income Statement'!S6*Assumptions!S22</f>
        <v>2736.5303175149</v>
      </c>
      <c r="T12" s="45" t="n">
        <f aca="false">'Income Statement'!T6*Assumptions!T22</f>
        <v>2769.67791557153</v>
      </c>
      <c r="U12" s="44" t="n">
        <f aca="false">T12</f>
        <v>2769.67791557153</v>
      </c>
      <c r="W12" s="6" t="s">
        <v>172</v>
      </c>
    </row>
    <row r="13" customFormat="false" ht="15" hidden="false" customHeight="true" outlineLevel="0" collapsed="false">
      <c r="A13" s="22" t="s">
        <v>173</v>
      </c>
      <c r="B13" s="57" t="n">
        <f aca="false">$E$13</f>
        <v>461.675</v>
      </c>
      <c r="C13" s="57" t="n">
        <f aca="false">$E$13</f>
        <v>461.675</v>
      </c>
      <c r="D13" s="57" t="n">
        <f aca="false">$E$13</f>
        <v>461.675</v>
      </c>
      <c r="E13" s="31" t="n">
        <v>461.675</v>
      </c>
      <c r="F13" s="44" t="n">
        <f aca="false">E13</f>
        <v>461.675</v>
      </c>
      <c r="G13" s="31" t="n">
        <v>392.873</v>
      </c>
      <c r="H13" s="33" t="n">
        <f aca="false">G13</f>
        <v>392.873</v>
      </c>
      <c r="I13" s="33" t="n">
        <f aca="false">H13</f>
        <v>392.873</v>
      </c>
      <c r="J13" s="33" t="n">
        <f aca="false">I13</f>
        <v>392.873</v>
      </c>
      <c r="K13" s="44" t="n">
        <f aca="false">J13</f>
        <v>392.873</v>
      </c>
      <c r="L13" s="33" t="n">
        <f aca="false">K13</f>
        <v>392.873</v>
      </c>
      <c r="M13" s="33" t="n">
        <f aca="false">L13</f>
        <v>392.873</v>
      </c>
      <c r="N13" s="33" t="n">
        <f aca="false">M13</f>
        <v>392.873</v>
      </c>
      <c r="O13" s="33" t="n">
        <f aca="false">N13</f>
        <v>392.873</v>
      </c>
      <c r="P13" s="44" t="n">
        <f aca="false">O13</f>
        <v>392.873</v>
      </c>
      <c r="Q13" s="33" t="n">
        <f aca="false">P13</f>
        <v>392.873</v>
      </c>
      <c r="R13" s="33" t="n">
        <f aca="false">Q13</f>
        <v>392.873</v>
      </c>
      <c r="S13" s="33" t="n">
        <f aca="false">R13</f>
        <v>392.873</v>
      </c>
      <c r="T13" s="33" t="n">
        <f aca="false">S13</f>
        <v>392.873</v>
      </c>
      <c r="U13" s="44" t="n">
        <f aca="false">T13</f>
        <v>392.873</v>
      </c>
      <c r="W13" s="6" t="s">
        <v>174</v>
      </c>
    </row>
    <row r="14" customFormat="false" ht="15" hidden="false" customHeight="true" outlineLevel="0" collapsed="false">
      <c r="A14" s="22" t="s">
        <v>175</v>
      </c>
      <c r="B14" s="57" t="n">
        <f aca="false">'Income Statement'!B6*0.2</f>
        <v>4401.81</v>
      </c>
      <c r="C14" s="57" t="n">
        <f aca="false">'Income Statement'!C6*0.2</f>
        <v>3992.198</v>
      </c>
      <c r="D14" s="57" t="n">
        <f aca="false">'Income Statement'!D6*0.2</f>
        <v>4236.0666</v>
      </c>
      <c r="E14" s="31" t="n">
        <v>4795.537</v>
      </c>
      <c r="F14" s="44" t="n">
        <f aca="false">E14</f>
        <v>4795.537</v>
      </c>
      <c r="G14" s="31" t="n">
        <v>4617.537</v>
      </c>
      <c r="H14" s="45" t="n">
        <f aca="false">'Income Statement'!H6*Assumptions!H23</f>
        <v>4422.13546011176</v>
      </c>
      <c r="I14" s="45" t="n">
        <f aca="false">'Income Statement'!I6*Assumptions!I23</f>
        <v>4692.26734827657</v>
      </c>
      <c r="J14" s="45" t="n">
        <f aca="false">'Income Statement'!J6*Assumptions!J23</f>
        <v>4749.104793504</v>
      </c>
      <c r="K14" s="44" t="n">
        <f aca="false">J14</f>
        <v>4749.104793504</v>
      </c>
      <c r="L14" s="45" t="n">
        <f aca="false">'Income Statement'!L6*Assumptions!L23</f>
        <v>5500.607616</v>
      </c>
      <c r="M14" s="45" t="n">
        <f aca="false">'Income Statement'!M6*Assumptions!M23</f>
        <v>4775.9062969207</v>
      </c>
      <c r="N14" s="45" t="n">
        <f aca="false">'Income Statement'!N6*Assumptions!N23</f>
        <v>5067.6487361387</v>
      </c>
      <c r="O14" s="45" t="n">
        <f aca="false">'Income Statement'!O6*Assumptions!O23</f>
        <v>5129.03317698432</v>
      </c>
      <c r="P14" s="44" t="n">
        <f aca="false">O14</f>
        <v>5129.03317698432</v>
      </c>
      <c r="Q14" s="45" t="n">
        <f aca="false">'Income Statement'!Q6*Assumptions!Q23</f>
        <v>5940.65622528</v>
      </c>
      <c r="R14" s="45" t="n">
        <f aca="false">'Income Statement'!R6*Assumptions!R23</f>
        <v>5157.97880067435</v>
      </c>
      <c r="S14" s="45" t="n">
        <f aca="false">'Income Statement'!S6*Assumptions!S23</f>
        <v>5473.0606350298</v>
      </c>
      <c r="T14" s="45" t="n">
        <f aca="false">'Income Statement'!T6*Assumptions!T23</f>
        <v>5539.35583114307</v>
      </c>
      <c r="U14" s="44" t="n">
        <f aca="false">T14</f>
        <v>5539.35583114307</v>
      </c>
      <c r="W14" s="6" t="s">
        <v>176</v>
      </c>
    </row>
    <row r="15" customFormat="false" ht="15" hidden="false" customHeight="true" outlineLevel="0" collapsed="false">
      <c r="A15" s="22" t="s">
        <v>177</v>
      </c>
      <c r="B15" s="57" t="n">
        <f aca="false">$E$15</f>
        <v>1359.382</v>
      </c>
      <c r="C15" s="57" t="n">
        <f aca="false">$E$15</f>
        <v>1359.382</v>
      </c>
      <c r="D15" s="57" t="n">
        <f aca="false">$E$15</f>
        <v>1359.382</v>
      </c>
      <c r="E15" s="31" t="n">
        <v>1359.382</v>
      </c>
      <c r="F15" s="44" t="n">
        <f aca="false">E15</f>
        <v>1359.382</v>
      </c>
      <c r="G15" s="31" t="n">
        <v>1903.69</v>
      </c>
      <c r="H15" s="33" t="n">
        <f aca="false">G15</f>
        <v>1903.69</v>
      </c>
      <c r="I15" s="33" t="n">
        <f aca="false">H15</f>
        <v>1903.69</v>
      </c>
      <c r="J15" s="33" t="n">
        <f aca="false">I15</f>
        <v>1903.69</v>
      </c>
      <c r="K15" s="44" t="n">
        <f aca="false">J15</f>
        <v>1903.69</v>
      </c>
      <c r="L15" s="33" t="n">
        <f aca="false">K15</f>
        <v>1903.69</v>
      </c>
      <c r="M15" s="33" t="n">
        <f aca="false">L15</f>
        <v>1903.69</v>
      </c>
      <c r="N15" s="33" t="n">
        <f aca="false">M15</f>
        <v>1903.69</v>
      </c>
      <c r="O15" s="33" t="n">
        <f aca="false">N15</f>
        <v>1903.69</v>
      </c>
      <c r="P15" s="44" t="n">
        <f aca="false">O15</f>
        <v>1903.69</v>
      </c>
      <c r="Q15" s="33" t="n">
        <f aca="false">P15</f>
        <v>1903.69</v>
      </c>
      <c r="R15" s="33" t="n">
        <f aca="false">Q15</f>
        <v>1903.69</v>
      </c>
      <c r="S15" s="33" t="n">
        <f aca="false">R15</f>
        <v>1903.69</v>
      </c>
      <c r="T15" s="33" t="n">
        <f aca="false">S15</f>
        <v>1903.69</v>
      </c>
      <c r="U15" s="44" t="n">
        <f aca="false">T15</f>
        <v>1903.69</v>
      </c>
      <c r="W15" s="6" t="s">
        <v>178</v>
      </c>
    </row>
    <row r="16" customFormat="false" ht="15" hidden="false" customHeight="true" outlineLevel="0" collapsed="false">
      <c r="A16" s="12" t="s">
        <v>179</v>
      </c>
      <c r="B16" s="48" t="n">
        <f aca="false">SUM(B8:B15)</f>
        <v>96433.8034038462</v>
      </c>
      <c r="C16" s="48" t="n">
        <f aca="false">SUM(C8:C15)</f>
        <v>88309.4742307692</v>
      </c>
      <c r="D16" s="48" t="n">
        <f aca="false">SUM(D8:D15)</f>
        <v>93120.1113296703</v>
      </c>
      <c r="E16" s="48" t="n">
        <f aca="false">SUM(E8:E15)</f>
        <v>123410.654</v>
      </c>
      <c r="F16" s="49" t="n">
        <f aca="false">SUM(F8:F15)</f>
        <v>123410.654</v>
      </c>
      <c r="G16" s="48" t="n">
        <f aca="false">SUM(G8:G15)</f>
        <v>107290.649</v>
      </c>
      <c r="H16" s="48" t="n">
        <f aca="false">SUM(H8:H15)</f>
        <v>98702.2211318096</v>
      </c>
      <c r="I16" s="48" t="n">
        <f aca="false">SUM(I8:I15)</f>
        <v>105018.152445826</v>
      </c>
      <c r="J16" s="48" t="n">
        <f aca="false">SUM(J8:J15)</f>
        <v>107165.268732733</v>
      </c>
      <c r="K16" s="49" t="n">
        <f aca="false">SUM(K8:K15)</f>
        <v>107165.268732733</v>
      </c>
      <c r="L16" s="48" t="n">
        <f aca="false">SUM(L8:L15)</f>
        <v>123143.825783846</v>
      </c>
      <c r="M16" s="48" t="n">
        <f aca="false">SUM(M8:M15)</f>
        <v>109676.956951121</v>
      </c>
      <c r="N16" s="48" t="n">
        <f aca="false">SUM(N8:N15)</f>
        <v>116440.534897463</v>
      </c>
      <c r="O16" s="48" t="n">
        <f aca="false">SUM(O8:O15)</f>
        <v>118647.127488917</v>
      </c>
      <c r="P16" s="49" t="n">
        <f aca="false">SUM(P8:P15)</f>
        <v>118647.127488917</v>
      </c>
      <c r="Q16" s="48" t="n">
        <f aca="false">SUM(Q8:Q15)</f>
        <v>135905.430341826</v>
      </c>
      <c r="R16" s="48" t="n">
        <f aca="false">SUM(R8:R15)</f>
        <v>121371.974527378</v>
      </c>
      <c r="S16" s="48" t="n">
        <f aca="false">SUM(S8:S15)</f>
        <v>128686.867108078</v>
      </c>
      <c r="T16" s="48" t="n">
        <f aca="false">SUM(T8:T15)</f>
        <v>131079.708085566</v>
      </c>
      <c r="U16" s="49" t="n">
        <f aca="false">SUM(U8:U15)</f>
        <v>131079.708085566</v>
      </c>
    </row>
    <row r="18" customFormat="false" ht="15" hidden="false" customHeight="true" outlineLevel="0" collapsed="false">
      <c r="A18" s="12" t="s">
        <v>180</v>
      </c>
    </row>
    <row r="19" customFormat="false" ht="15" hidden="false" customHeight="true" outlineLevel="0" collapsed="false">
      <c r="A19" s="22" t="s">
        <v>181</v>
      </c>
      <c r="B19" s="57" t="n">
        <f aca="false">$E$19</f>
        <v>4157.393</v>
      </c>
      <c r="C19" s="57" t="n">
        <f aca="false">$E$19</f>
        <v>4157.393</v>
      </c>
      <c r="D19" s="57" t="n">
        <f aca="false">$E$19</f>
        <v>4157.393</v>
      </c>
      <c r="E19" s="31" t="n">
        <v>4157.393</v>
      </c>
      <c r="F19" s="44" t="n">
        <f aca="false">E19</f>
        <v>4157.393</v>
      </c>
      <c r="G19" s="31" t="n">
        <v>4545.252</v>
      </c>
      <c r="H19" s="45" t="n">
        <f aca="false">G19+'Income Statement'!H6*Assumptions!H24-'Income Statement'!H15</f>
        <v>4744.24809570503</v>
      </c>
      <c r="I19" s="45" t="n">
        <f aca="false">H19+'Income Statement'!I6*Assumptions!I24-'Income Statement'!I15</f>
        <v>4955.40012637748</v>
      </c>
      <c r="J19" s="45" t="n">
        <f aca="false">I19+'Income Statement'!J6*Assumptions!J24-'Income Statement'!J15</f>
        <v>5169.10984208516</v>
      </c>
      <c r="K19" s="44" t="n">
        <f aca="false">J19</f>
        <v>5169.10984208516</v>
      </c>
      <c r="L19" s="45" t="n">
        <f aca="false">K19+'Income Statement'!L6*Assumptions!L24-'Income Statement'!L15</f>
        <v>5416.63718480516</v>
      </c>
      <c r="M19" s="45" t="n">
        <f aca="false">L19+'Income Statement'!M6*Assumptions!M24-'Income Statement'!M15</f>
        <v>5631.55296816659</v>
      </c>
      <c r="N19" s="45" t="n">
        <f aca="false">M19+'Income Statement'!N6*Assumptions!N24-'Income Statement'!N15</f>
        <v>5859.59716129283</v>
      </c>
      <c r="O19" s="45" t="n">
        <f aca="false">N19+'Income Statement'!O6*Assumptions!O24-'Income Statement'!O15</f>
        <v>6090.40365425712</v>
      </c>
      <c r="P19" s="44" t="n">
        <f aca="false">O19</f>
        <v>6090.40365425712</v>
      </c>
      <c r="Q19" s="45" t="n">
        <f aca="false">P19+'Income Statement'!Q6*Assumptions!Q24-'Income Statement'!Q15</f>
        <v>6357.73318439472</v>
      </c>
      <c r="R19" s="45" t="n">
        <f aca="false">Q19+'Income Statement'!R6*Assumptions!R24-'Income Statement'!R15</f>
        <v>6589.84223042507</v>
      </c>
      <c r="S19" s="45" t="n">
        <f aca="false">R19+'Income Statement'!S6*Assumptions!S24-'Income Statement'!S15</f>
        <v>6836.12995900141</v>
      </c>
      <c r="T19" s="45" t="n">
        <f aca="false">S19+'Income Statement'!T6*Assumptions!T24-'Income Statement'!T15</f>
        <v>7085.40097140285</v>
      </c>
      <c r="U19" s="44" t="n">
        <f aca="false">T19</f>
        <v>7085.40097140285</v>
      </c>
      <c r="W19" s="6" t="s">
        <v>182</v>
      </c>
    </row>
    <row r="20" customFormat="false" ht="15" hidden="false" customHeight="true" outlineLevel="0" collapsed="false">
      <c r="A20" s="22" t="s">
        <v>183</v>
      </c>
      <c r="B20" s="57" t="n">
        <f aca="false">$E$20</f>
        <v>9.759</v>
      </c>
      <c r="C20" s="57" t="n">
        <f aca="false">$E$20</f>
        <v>9.759</v>
      </c>
      <c r="D20" s="57" t="n">
        <f aca="false">$E$20</f>
        <v>9.759</v>
      </c>
      <c r="E20" s="31" t="n">
        <v>9.759</v>
      </c>
      <c r="F20" s="44" t="n">
        <f aca="false">E20</f>
        <v>9.759</v>
      </c>
      <c r="G20" s="31" t="n">
        <v>9.759</v>
      </c>
      <c r="H20" s="33" t="n">
        <f aca="false">G20</f>
        <v>9.759</v>
      </c>
      <c r="I20" s="33" t="n">
        <f aca="false">H20</f>
        <v>9.759</v>
      </c>
      <c r="J20" s="33" t="n">
        <f aca="false">I20</f>
        <v>9.759</v>
      </c>
      <c r="K20" s="44" t="n">
        <f aca="false">J20</f>
        <v>9.759</v>
      </c>
      <c r="L20" s="33" t="n">
        <f aca="false">K20</f>
        <v>9.759</v>
      </c>
      <c r="M20" s="33" t="n">
        <f aca="false">L20</f>
        <v>9.759</v>
      </c>
      <c r="N20" s="33" t="n">
        <f aca="false">M20</f>
        <v>9.759</v>
      </c>
      <c r="O20" s="33" t="n">
        <f aca="false">N20</f>
        <v>9.759</v>
      </c>
      <c r="P20" s="44" t="n">
        <f aca="false">O20</f>
        <v>9.759</v>
      </c>
      <c r="Q20" s="33" t="n">
        <f aca="false">P20</f>
        <v>9.759</v>
      </c>
      <c r="R20" s="33" t="n">
        <f aca="false">Q20</f>
        <v>9.759</v>
      </c>
      <c r="S20" s="33" t="n">
        <f aca="false">R20</f>
        <v>9.759</v>
      </c>
      <c r="T20" s="33" t="n">
        <f aca="false">S20</f>
        <v>9.759</v>
      </c>
      <c r="U20" s="44" t="n">
        <f aca="false">T20</f>
        <v>9.759</v>
      </c>
      <c r="W20" s="6" t="s">
        <v>184</v>
      </c>
    </row>
    <row r="21" customFormat="false" ht="15" hidden="false" customHeight="true" outlineLevel="0" collapsed="false">
      <c r="A21" s="22" t="s">
        <v>185</v>
      </c>
      <c r="B21" s="57" t="n">
        <f aca="false">$E$21</f>
        <v>4526.228</v>
      </c>
      <c r="C21" s="57" t="n">
        <f aca="false">$E$21</f>
        <v>4526.228</v>
      </c>
      <c r="D21" s="57" t="n">
        <f aca="false">$E$21</f>
        <v>4526.228</v>
      </c>
      <c r="E21" s="31" t="n">
        <v>4526.228</v>
      </c>
      <c r="F21" s="44" t="n">
        <f aca="false">E21</f>
        <v>4526.228</v>
      </c>
      <c r="G21" s="31" t="n">
        <v>4459.144</v>
      </c>
      <c r="H21" s="45" t="n">
        <f aca="false">MAX(0,G21-'Income Statement'!H22)</f>
        <v>4179.24868515397</v>
      </c>
      <c r="I21" s="45" t="n">
        <f aca="false">MAX(0,H21-'Income Statement'!I22)</f>
        <v>3863.65104527979</v>
      </c>
      <c r="J21" s="45" t="n">
        <f aca="false">MAX(0,I21-'Income Statement'!J22)</f>
        <v>3530.48110047929</v>
      </c>
      <c r="K21" s="44" t="n">
        <f aca="false">J21</f>
        <v>3530.48110047929</v>
      </c>
      <c r="L21" s="45" t="n">
        <f aca="false">MAX(0,K21-'Income Statement'!L22)</f>
        <v>3192.34828921529</v>
      </c>
      <c r="M21" s="45" t="n">
        <f aca="false">MAX(0,L21-'Income Statement'!M22)</f>
        <v>2893.34934918157</v>
      </c>
      <c r="N21" s="45" t="n">
        <f aca="false">MAX(0,M21-'Income Statement'!N22)</f>
        <v>2578.59631743008</v>
      </c>
      <c r="O21" s="45" t="n">
        <f aca="false">MAX(0,N21-'Income Statement'!O22)</f>
        <v>2260.52852587293</v>
      </c>
      <c r="P21" s="44" t="n">
        <f aca="false">O21</f>
        <v>2260.52852587293</v>
      </c>
      <c r="Q21" s="45" t="n">
        <f aca="false">MAX(0,P21-'Income Statement'!Q22)</f>
        <v>1898.63308970781</v>
      </c>
      <c r="R21" s="45" t="n">
        <f aca="false">MAX(0,Q21-'Income Statement'!R22)</f>
        <v>1579.00223447139</v>
      </c>
      <c r="S21" s="45" t="n">
        <f aca="false">MAX(0,R21-'Income Statement'!S22)</f>
        <v>1242.35696017979</v>
      </c>
      <c r="T21" s="45" t="n">
        <f aca="false">MAX(0,S21-'Income Statement'!T22)</f>
        <v>902.131745298059</v>
      </c>
      <c r="U21" s="44" t="n">
        <f aca="false">T21</f>
        <v>902.131745298059</v>
      </c>
      <c r="W21" s="6" t="s">
        <v>186</v>
      </c>
    </row>
    <row r="22" customFormat="false" ht="15" hidden="false" customHeight="true" outlineLevel="0" collapsed="false">
      <c r="A22" s="22" t="s">
        <v>187</v>
      </c>
      <c r="B22" s="57" t="n">
        <f aca="false">$E$22</f>
        <v>2423.231</v>
      </c>
      <c r="C22" s="57" t="n">
        <f aca="false">$E$22</f>
        <v>2423.231</v>
      </c>
      <c r="D22" s="57" t="n">
        <f aca="false">$E$22</f>
        <v>2423.231</v>
      </c>
      <c r="E22" s="31" t="n">
        <v>2423.231</v>
      </c>
      <c r="F22" s="44" t="n">
        <f aca="false">E22</f>
        <v>2423.231</v>
      </c>
      <c r="G22" s="31" t="n">
        <v>3524.65</v>
      </c>
      <c r="H22" s="45" t="n">
        <f aca="false">G22+(H31-G31)+(H41-G41)</f>
        <v>3461.26482</v>
      </c>
      <c r="I22" s="45" t="n">
        <f aca="false">H22+(I31-H31)+(I41-H41)</f>
        <v>3399.0716728</v>
      </c>
      <c r="J22" s="45" t="n">
        <f aca="false">I22+(J31-I31)+(J41-I41)</f>
        <v>3338.047474452</v>
      </c>
      <c r="K22" s="44" t="n">
        <f aca="false">J22</f>
        <v>3338.047474452</v>
      </c>
      <c r="L22" s="45" t="n">
        <f aca="false">K22+(L31-K31)+(L41-K41)</f>
        <v>3278.16959511988</v>
      </c>
      <c r="M22" s="45" t="n">
        <f aca="false">L22+(M31-L31)+(M41-L41)</f>
        <v>3219.41585007283</v>
      </c>
      <c r="N22" s="45" t="n">
        <f aca="false">M22+(N31-M31)+(N41-M41)</f>
        <v>3161.76449085817</v>
      </c>
      <c r="O22" s="45" t="n">
        <f aca="false">N22+(O31-N31)+(O41-N41)</f>
        <v>3105.19419664994</v>
      </c>
      <c r="P22" s="44" t="n">
        <f aca="false">O22</f>
        <v>3105.19419664994</v>
      </c>
      <c r="Q22" s="45" t="n">
        <f aca="false">P22+(Q31-P31)+(Q41-P41)</f>
        <v>3049.68406576978</v>
      </c>
      <c r="R22" s="45" t="n">
        <f aca="false">Q22+(R31-Q31)+(R41-Q41)</f>
        <v>2995.2136073767</v>
      </c>
      <c r="S22" s="45" t="n">
        <f aca="false">R22+(S31-R31)+(S41-R41)</f>
        <v>2941.76273332225</v>
      </c>
      <c r="T22" s="45" t="n">
        <f aca="false">S22+(T31-S31)+(T41-S41)</f>
        <v>2889.31175016796</v>
      </c>
      <c r="U22" s="44" t="n">
        <f aca="false">T22</f>
        <v>2889.31175016796</v>
      </c>
      <c r="W22" s="6" t="s">
        <v>188</v>
      </c>
    </row>
    <row r="23" customFormat="false" ht="15" hidden="false" customHeight="true" outlineLevel="0" collapsed="false">
      <c r="A23" s="22" t="s">
        <v>189</v>
      </c>
      <c r="B23" s="57" t="n">
        <f aca="false">$E$23</f>
        <v>362.949</v>
      </c>
      <c r="C23" s="57" t="n">
        <f aca="false">$E$23</f>
        <v>362.949</v>
      </c>
      <c r="D23" s="57" t="n">
        <f aca="false">$E$23</f>
        <v>362.949</v>
      </c>
      <c r="E23" s="31" t="n">
        <v>362.949</v>
      </c>
      <c r="F23" s="44" t="n">
        <f aca="false">E23</f>
        <v>362.949</v>
      </c>
      <c r="G23" s="31" t="n">
        <v>362.949</v>
      </c>
      <c r="H23" s="33" t="n">
        <f aca="false">G23</f>
        <v>362.949</v>
      </c>
      <c r="I23" s="33" t="n">
        <f aca="false">H23</f>
        <v>362.949</v>
      </c>
      <c r="J23" s="33" t="n">
        <f aca="false">I23</f>
        <v>362.949</v>
      </c>
      <c r="K23" s="44" t="n">
        <f aca="false">J23</f>
        <v>362.949</v>
      </c>
      <c r="L23" s="33" t="n">
        <f aca="false">K23</f>
        <v>362.949</v>
      </c>
      <c r="M23" s="33" t="n">
        <f aca="false">L23</f>
        <v>362.949</v>
      </c>
      <c r="N23" s="33" t="n">
        <f aca="false">M23</f>
        <v>362.949</v>
      </c>
      <c r="O23" s="33" t="n">
        <f aca="false">N23</f>
        <v>362.949</v>
      </c>
      <c r="P23" s="44" t="n">
        <f aca="false">O23</f>
        <v>362.949</v>
      </c>
      <c r="Q23" s="33" t="n">
        <f aca="false">P23</f>
        <v>362.949</v>
      </c>
      <c r="R23" s="33" t="n">
        <f aca="false">Q23</f>
        <v>362.949</v>
      </c>
      <c r="S23" s="33" t="n">
        <f aca="false">R23</f>
        <v>362.949</v>
      </c>
      <c r="T23" s="33" t="n">
        <f aca="false">S23</f>
        <v>362.949</v>
      </c>
      <c r="U23" s="44" t="n">
        <f aca="false">T23</f>
        <v>362.949</v>
      </c>
      <c r="W23" s="6" t="s">
        <v>190</v>
      </c>
    </row>
    <row r="24" customFormat="false" ht="15" hidden="false" customHeight="true" outlineLevel="0" collapsed="false">
      <c r="A24" s="12" t="s">
        <v>191</v>
      </c>
      <c r="B24" s="48" t="n">
        <f aca="false">SUM(B19:B23)</f>
        <v>11479.56</v>
      </c>
      <c r="C24" s="48" t="n">
        <f aca="false">SUM(C19:C23)</f>
        <v>11479.56</v>
      </c>
      <c r="D24" s="48" t="n">
        <f aca="false">SUM(D19:D23)</f>
        <v>11479.56</v>
      </c>
      <c r="E24" s="48" t="n">
        <f aca="false">SUM(E19:E23)</f>
        <v>11479.56</v>
      </c>
      <c r="F24" s="49" t="n">
        <f aca="false">SUM(F19:F23)</f>
        <v>11479.56</v>
      </c>
      <c r="G24" s="48" t="n">
        <f aca="false">SUM(G19:G23)</f>
        <v>12901.754</v>
      </c>
      <c r="H24" s="48" t="n">
        <f aca="false">SUM(H19:H23)</f>
        <v>12757.469600859</v>
      </c>
      <c r="I24" s="48" t="n">
        <f aca="false">SUM(I19:I23)</f>
        <v>12590.8308444573</v>
      </c>
      <c r="J24" s="48" t="n">
        <f aca="false">SUM(J19:J23)</f>
        <v>12410.3464170164</v>
      </c>
      <c r="K24" s="49" t="n">
        <f aca="false">SUM(K19:K23)</f>
        <v>12410.3464170164</v>
      </c>
      <c r="L24" s="48" t="n">
        <f aca="false">SUM(L19:L23)</f>
        <v>12259.8630691403</v>
      </c>
      <c r="M24" s="48" t="n">
        <f aca="false">SUM(M19:M23)</f>
        <v>12117.026167421</v>
      </c>
      <c r="N24" s="48" t="n">
        <f aca="false">SUM(N19:N23)</f>
        <v>11972.6659695811</v>
      </c>
      <c r="O24" s="48" t="n">
        <f aca="false">SUM(O19:O23)</f>
        <v>11828.83437678</v>
      </c>
      <c r="P24" s="49" t="n">
        <f aca="false">SUM(P19:P23)</f>
        <v>11828.83437678</v>
      </c>
      <c r="Q24" s="48" t="n">
        <f aca="false">SUM(Q19:Q23)</f>
        <v>11678.7583398723</v>
      </c>
      <c r="R24" s="48" t="n">
        <f aca="false">SUM(R19:R23)</f>
        <v>11536.7660722732</v>
      </c>
      <c r="S24" s="48" t="n">
        <f aca="false">SUM(S19:S23)</f>
        <v>11392.9576525034</v>
      </c>
      <c r="T24" s="48" t="n">
        <f aca="false">SUM(T19:T23)</f>
        <v>11249.5524668689</v>
      </c>
      <c r="U24" s="49" t="n">
        <f aca="false">SUM(U19:U23)</f>
        <v>11249.5524668689</v>
      </c>
    </row>
    <row r="25" customFormat="false" ht="15" hidden="false" customHeight="true" outlineLevel="0" collapsed="false">
      <c r="A25" s="37" t="s">
        <v>192</v>
      </c>
      <c r="B25" s="40" t="n">
        <f aca="false">B16+B24</f>
        <v>107913.363403846</v>
      </c>
      <c r="C25" s="40" t="n">
        <f aca="false">C16+C24</f>
        <v>99789.0342307692</v>
      </c>
      <c r="D25" s="40" t="n">
        <f aca="false">D16+D24</f>
        <v>104599.67132967</v>
      </c>
      <c r="E25" s="40" t="n">
        <f aca="false">E16+E24</f>
        <v>134890.214</v>
      </c>
      <c r="F25" s="58" t="n">
        <f aca="false">F16+F24</f>
        <v>134890.214</v>
      </c>
      <c r="G25" s="40" t="n">
        <f aca="false">G16+G24</f>
        <v>120192.403</v>
      </c>
      <c r="H25" s="40" t="n">
        <f aca="false">H16+H24</f>
        <v>111459.690732669</v>
      </c>
      <c r="I25" s="40" t="n">
        <f aca="false">I16+I24</f>
        <v>117608.983290283</v>
      </c>
      <c r="J25" s="40" t="n">
        <f aca="false">J16+J24</f>
        <v>119575.615149749</v>
      </c>
      <c r="K25" s="58" t="n">
        <f aca="false">K16+K24</f>
        <v>119575.615149749</v>
      </c>
      <c r="L25" s="40" t="n">
        <f aca="false">L16+L24</f>
        <v>135403.688852986</v>
      </c>
      <c r="M25" s="40" t="n">
        <f aca="false">M16+M24</f>
        <v>121793.983118542</v>
      </c>
      <c r="N25" s="40" t="n">
        <f aca="false">N16+N24</f>
        <v>128413.200867044</v>
      </c>
      <c r="O25" s="40" t="n">
        <f aca="false">O16+O24</f>
        <v>130475.961865697</v>
      </c>
      <c r="P25" s="58" t="n">
        <f aca="false">P16+P24</f>
        <v>130475.961865697</v>
      </c>
      <c r="Q25" s="40" t="n">
        <f aca="false">Q16+Q24</f>
        <v>147584.188681698</v>
      </c>
      <c r="R25" s="40" t="n">
        <f aca="false">R16+R24</f>
        <v>132908.740599651</v>
      </c>
      <c r="S25" s="40" t="n">
        <f aca="false">S16+S24</f>
        <v>140079.824760581</v>
      </c>
      <c r="T25" s="40" t="n">
        <f aca="false">T16+T24</f>
        <v>142329.260552435</v>
      </c>
      <c r="U25" s="58" t="n">
        <f aca="false">U16+U24</f>
        <v>142329.260552435</v>
      </c>
    </row>
    <row r="27" customFormat="false" ht="15" hidden="false" customHeight="true" outlineLevel="0" collapsed="false">
      <c r="A27" s="10" t="s">
        <v>193</v>
      </c>
      <c r="B27" s="11"/>
      <c r="C27" s="11"/>
      <c r="D27" s="11"/>
      <c r="E27" s="11"/>
      <c r="F27" s="11"/>
      <c r="G27" s="11"/>
      <c r="H27" s="11"/>
      <c r="I27" s="11"/>
      <c r="J27" s="11"/>
      <c r="K27" s="11"/>
      <c r="L27" s="11"/>
      <c r="M27" s="11"/>
      <c r="N27" s="11"/>
      <c r="O27" s="11"/>
      <c r="P27" s="11"/>
      <c r="Q27" s="11"/>
      <c r="R27" s="11"/>
      <c r="S27" s="11"/>
      <c r="T27" s="11"/>
      <c r="U27" s="11"/>
    </row>
    <row r="28" customFormat="false" ht="15" hidden="false" customHeight="true" outlineLevel="0" collapsed="false">
      <c r="A28" s="12" t="s">
        <v>194</v>
      </c>
    </row>
    <row r="29" customFormat="false" ht="15" hidden="false" customHeight="true" outlineLevel="0" collapsed="false">
      <c r="A29" s="22" t="s">
        <v>195</v>
      </c>
      <c r="B29" s="57" t="n">
        <f aca="false">'Income Statement'!B10/91*7</f>
        <v>1323.06976923077</v>
      </c>
      <c r="C29" s="57" t="n">
        <f aca="false">'Income Statement'!C10/91*7</f>
        <v>1140.07084615385</v>
      </c>
      <c r="D29" s="57" t="n">
        <f aca="false">'Income Statement'!D10/91*7</f>
        <v>1254.63953846154</v>
      </c>
      <c r="E29" s="31" t="n">
        <v>880.59</v>
      </c>
      <c r="F29" s="44" t="n">
        <f aca="false">E29</f>
        <v>880.59</v>
      </c>
      <c r="G29" s="31" t="n">
        <v>1275.061</v>
      </c>
      <c r="H29" s="45" t="n">
        <f aca="false">'Income Statement'!H10/91*Assumptions!H19</f>
        <v>1318.13653137947</v>
      </c>
      <c r="I29" s="45" t="n">
        <f aca="false">'Income Statement'!I10/91*Assumptions!I19</f>
        <v>1393.24245879597</v>
      </c>
      <c r="J29" s="45" t="n">
        <f aca="false">'Income Statement'!J10/91*Assumptions!J19</f>
        <v>1406.46565038388</v>
      </c>
      <c r="K29" s="44" t="n">
        <f aca="false">J29</f>
        <v>1406.46565038388</v>
      </c>
      <c r="L29" s="45" t="n">
        <f aca="false">'Income Statement'!L10/91*Assumptions!L19</f>
        <v>1639.60419323077</v>
      </c>
      <c r="M29" s="45" t="n">
        <f aca="false">'Income Statement'!M10/91*Assumptions!M19</f>
        <v>1423.58745388982</v>
      </c>
      <c r="N29" s="45" t="n">
        <f aca="false">'Income Statement'!N10/91*Assumptions!N19</f>
        <v>1510.54914250288</v>
      </c>
      <c r="O29" s="45" t="n">
        <f aca="false">'Income Statement'!O10/91*Assumptions!O19</f>
        <v>1528.84642775494</v>
      </c>
      <c r="P29" s="44" t="n">
        <f aca="false">O29</f>
        <v>1528.84642775494</v>
      </c>
      <c r="Q29" s="45" t="n">
        <f aca="false">'Income Statement'!Q10/91*Assumptions!Q19</f>
        <v>1770.77252868923</v>
      </c>
      <c r="R29" s="45" t="n">
        <f aca="false">'Income Statement'!R10/91*Assumptions!R19</f>
        <v>1537.47445020101</v>
      </c>
      <c r="S29" s="45" t="n">
        <f aca="false">'Income Statement'!S10/91*Assumptions!S19</f>
        <v>1631.39307390311</v>
      </c>
      <c r="T29" s="45" t="n">
        <f aca="false">'Income Statement'!T10/91*Assumptions!T19</f>
        <v>1651.15414197534</v>
      </c>
      <c r="U29" s="44" t="n">
        <f aca="false">T29</f>
        <v>1651.15414197534</v>
      </c>
      <c r="W29" s="6" t="s">
        <v>196</v>
      </c>
    </row>
    <row r="30" customFormat="false" ht="15" hidden="false" customHeight="true" outlineLevel="0" collapsed="false">
      <c r="A30" s="22" t="s">
        <v>197</v>
      </c>
      <c r="B30" s="57" t="n">
        <f aca="false">$E$30</f>
        <v>3326.445</v>
      </c>
      <c r="C30" s="57" t="n">
        <f aca="false">$E$30</f>
        <v>3326.445</v>
      </c>
      <c r="D30" s="57" t="n">
        <f aca="false">$E$30</f>
        <v>3326.445</v>
      </c>
      <c r="E30" s="31" t="n">
        <v>3326.445</v>
      </c>
      <c r="F30" s="44" t="n">
        <f aca="false">E30</f>
        <v>3326.445</v>
      </c>
      <c r="G30" s="31" t="n">
        <v>4052.64</v>
      </c>
      <c r="H30" s="45" t="n">
        <f aca="false">'Income Statement'!H6/'Income Statement'!$G$6*$G$30</f>
        <v>3518.70743131238</v>
      </c>
      <c r="I30" s="45" t="n">
        <f aca="false">'Income Statement'!I6/'Income Statement'!$G$6*$G$30</f>
        <v>3733.6522449423</v>
      </c>
      <c r="J30" s="45" t="n">
        <f aca="false">'Income Statement'!J6/'Income Statement'!$G$6*$G$30</f>
        <v>3778.87798320893</v>
      </c>
      <c r="K30" s="44" t="n">
        <f aca="false">J30</f>
        <v>3778.87798320893</v>
      </c>
      <c r="L30" s="45" t="n">
        <f aca="false">'Income Statement'!L6/'Income Statement'!$G$6*$G$30</f>
        <v>4376.8512</v>
      </c>
      <c r="M30" s="45" t="n">
        <f aca="false">'Income Statement'!M6/'Income Statement'!$G$6*$G$30</f>
        <v>3800.20402581737</v>
      </c>
      <c r="N30" s="45" t="n">
        <f aca="false">'Income Statement'!N6/'Income Statement'!$G$6*$G$30</f>
        <v>4032.34442453769</v>
      </c>
      <c r="O30" s="45" t="n">
        <f aca="false">'Income Statement'!O6/'Income Statement'!$G$6*$G$30</f>
        <v>4081.18822186564</v>
      </c>
      <c r="P30" s="44" t="n">
        <f aca="false">O30</f>
        <v>4081.18822186564</v>
      </c>
      <c r="Q30" s="45" t="n">
        <f aca="false">'Income Statement'!Q6/'Income Statement'!$G$6*$G$30</f>
        <v>4726.999296</v>
      </c>
      <c r="R30" s="45" t="n">
        <f aca="false">'Income Statement'!R6/'Income Statement'!$G$6*$G$30</f>
        <v>4104.22034788276</v>
      </c>
      <c r="S30" s="45" t="n">
        <f aca="false">'Income Statement'!S6/'Income Statement'!$G$6*$G$30</f>
        <v>4354.9319785007</v>
      </c>
      <c r="T30" s="45" t="n">
        <f aca="false">'Income Statement'!T6/'Income Statement'!$G$6*$G$30</f>
        <v>4407.68327961489</v>
      </c>
      <c r="U30" s="44" t="n">
        <f aca="false">T30</f>
        <v>4407.68327961489</v>
      </c>
      <c r="W30" s="6" t="s">
        <v>198</v>
      </c>
    </row>
    <row r="31" customFormat="false" ht="15" hidden="false" customHeight="true" outlineLevel="0" collapsed="false">
      <c r="A31" s="22" t="s">
        <v>199</v>
      </c>
      <c r="B31" s="57" t="n">
        <f aca="false">$E$31</f>
        <v>639.805</v>
      </c>
      <c r="C31" s="57" t="n">
        <f aca="false">$E$31</f>
        <v>639.805</v>
      </c>
      <c r="D31" s="57" t="n">
        <f aca="false">$E$31</f>
        <v>639.805</v>
      </c>
      <c r="E31" s="31" t="n">
        <v>639.805</v>
      </c>
      <c r="F31" s="44" t="n">
        <f aca="false">E31</f>
        <v>639.805</v>
      </c>
      <c r="G31" s="31" t="n">
        <v>756.708</v>
      </c>
      <c r="H31" s="33" t="n">
        <f aca="false">G31*0.99</f>
        <v>749.14092</v>
      </c>
      <c r="I31" s="33" t="n">
        <f aca="false">H31*0.99</f>
        <v>741.6495108</v>
      </c>
      <c r="J31" s="33" t="n">
        <f aca="false">I31*0.99</f>
        <v>734.233015692</v>
      </c>
      <c r="K31" s="44" t="n">
        <f aca="false">J31</f>
        <v>734.233015692</v>
      </c>
      <c r="L31" s="33" t="n">
        <f aca="false">K31*0.99</f>
        <v>726.89068553508</v>
      </c>
      <c r="M31" s="33" t="n">
        <f aca="false">L31*0.99</f>
        <v>719.621778679729</v>
      </c>
      <c r="N31" s="33" t="n">
        <f aca="false">M31*0.99</f>
        <v>712.425560892932</v>
      </c>
      <c r="O31" s="33" t="n">
        <f aca="false">N31*0.99</f>
        <v>705.301305284003</v>
      </c>
      <c r="P31" s="44" t="n">
        <f aca="false">O31</f>
        <v>705.301305284003</v>
      </c>
      <c r="Q31" s="33" t="n">
        <f aca="false">P31*0.99</f>
        <v>698.248292231163</v>
      </c>
      <c r="R31" s="33" t="n">
        <f aca="false">Q31*0.99</f>
        <v>691.265809308851</v>
      </c>
      <c r="S31" s="33" t="n">
        <f aca="false">R31*0.99</f>
        <v>684.353151215762</v>
      </c>
      <c r="T31" s="33" t="n">
        <f aca="false">S31*0.99</f>
        <v>677.509619703605</v>
      </c>
      <c r="U31" s="44" t="n">
        <f aca="false">T31</f>
        <v>677.509619703605</v>
      </c>
      <c r="W31" s="6" t="s">
        <v>200</v>
      </c>
    </row>
    <row r="32" customFormat="false" ht="15" hidden="false" customHeight="true" outlineLevel="0" collapsed="false">
      <c r="A32" s="22" t="s">
        <v>201</v>
      </c>
      <c r="B32" s="57" t="n">
        <f aca="false">$E$32</f>
        <v>289.317</v>
      </c>
      <c r="C32" s="57" t="n">
        <f aca="false">$E$32</f>
        <v>289.317</v>
      </c>
      <c r="D32" s="57" t="n">
        <f aca="false">$E$32</f>
        <v>289.317</v>
      </c>
      <c r="E32" s="31" t="n">
        <v>289.317</v>
      </c>
      <c r="F32" s="44" t="n">
        <f aca="false">E32</f>
        <v>289.317</v>
      </c>
      <c r="G32" s="31" t="n">
        <v>337.544</v>
      </c>
      <c r="H32" s="33" t="n">
        <f aca="false">G32</f>
        <v>337.544</v>
      </c>
      <c r="I32" s="33" t="n">
        <f aca="false">H32</f>
        <v>337.544</v>
      </c>
      <c r="J32" s="33" t="n">
        <f aca="false">I32</f>
        <v>337.544</v>
      </c>
      <c r="K32" s="44" t="n">
        <f aca="false">J32</f>
        <v>337.544</v>
      </c>
      <c r="L32" s="33" t="n">
        <f aca="false">K32</f>
        <v>337.544</v>
      </c>
      <c r="M32" s="33" t="n">
        <f aca="false">L32</f>
        <v>337.544</v>
      </c>
      <c r="N32" s="33" t="n">
        <f aca="false">M32</f>
        <v>337.544</v>
      </c>
      <c r="O32" s="33" t="n">
        <f aca="false">N32</f>
        <v>337.544</v>
      </c>
      <c r="P32" s="44" t="n">
        <f aca="false">O32</f>
        <v>337.544</v>
      </c>
      <c r="Q32" s="33" t="n">
        <f aca="false">P32</f>
        <v>337.544</v>
      </c>
      <c r="R32" s="33" t="n">
        <f aca="false">Q32</f>
        <v>337.544</v>
      </c>
      <c r="S32" s="33" t="n">
        <f aca="false">R32</f>
        <v>337.544</v>
      </c>
      <c r="T32" s="33" t="n">
        <f aca="false">S32</f>
        <v>337.544</v>
      </c>
      <c r="U32" s="44" t="n">
        <f aca="false">T32</f>
        <v>337.544</v>
      </c>
      <c r="W32" s="6" t="s">
        <v>202</v>
      </c>
    </row>
    <row r="33" customFormat="false" ht="15" hidden="false" customHeight="true" outlineLevel="0" collapsed="false">
      <c r="A33" s="22" t="s">
        <v>203</v>
      </c>
      <c r="B33" s="43" t="n">
        <f aca="false">B10</f>
        <v>61625.34</v>
      </c>
      <c r="C33" s="43" t="n">
        <f aca="false">C10</f>
        <v>55890.772</v>
      </c>
      <c r="D33" s="43" t="n">
        <f aca="false">D10</f>
        <v>59304.9324</v>
      </c>
      <c r="E33" s="43" t="n">
        <f aca="false">E10</f>
        <v>74180.475</v>
      </c>
      <c r="F33" s="44" t="n">
        <f aca="false">F10</f>
        <v>74180.475</v>
      </c>
      <c r="G33" s="43" t="n">
        <f aca="false">G10</f>
        <v>69522.444</v>
      </c>
      <c r="H33" s="45" t="n">
        <f aca="false">H10</f>
        <v>61909.8964415646</v>
      </c>
      <c r="I33" s="45" t="n">
        <f aca="false">I10</f>
        <v>65691.742875872</v>
      </c>
      <c r="J33" s="45" t="n">
        <f aca="false">J10</f>
        <v>66487.467109056</v>
      </c>
      <c r="K33" s="44" t="n">
        <f aca="false">K10</f>
        <v>66487.467109056</v>
      </c>
      <c r="L33" s="45" t="n">
        <f aca="false">L10</f>
        <v>77008.506624</v>
      </c>
      <c r="M33" s="45" t="n">
        <f aca="false">M10</f>
        <v>66862.6881568897</v>
      </c>
      <c r="N33" s="45" t="n">
        <f aca="false">N10</f>
        <v>70947.0823059418</v>
      </c>
      <c r="O33" s="45" t="n">
        <f aca="false">O10</f>
        <v>71806.4644777805</v>
      </c>
      <c r="P33" s="44" t="n">
        <f aca="false">P10</f>
        <v>71806.4644777805</v>
      </c>
      <c r="Q33" s="45" t="n">
        <f aca="false">Q10</f>
        <v>83169.18715392</v>
      </c>
      <c r="R33" s="45" t="n">
        <f aca="false">R10</f>
        <v>72211.7032094409</v>
      </c>
      <c r="S33" s="45" t="n">
        <f aca="false">S10</f>
        <v>76622.8488904171</v>
      </c>
      <c r="T33" s="45" t="n">
        <f aca="false">T10</f>
        <v>77550.9816360029</v>
      </c>
      <c r="U33" s="44" t="n">
        <f aca="false">U10</f>
        <v>77550.9816360029</v>
      </c>
      <c r="W33" s="6" t="s">
        <v>204</v>
      </c>
    </row>
    <row r="34" customFormat="false" ht="15" hidden="false" customHeight="true" outlineLevel="0" collapsed="false">
      <c r="A34" s="22" t="s">
        <v>205</v>
      </c>
      <c r="B34" s="43" t="n">
        <f aca="false">B11</f>
        <v>14305.8825</v>
      </c>
      <c r="C34" s="43" t="n">
        <f aca="false">C11</f>
        <v>12974.6435</v>
      </c>
      <c r="D34" s="43" t="n">
        <f aca="false">D11</f>
        <v>13767.21645</v>
      </c>
      <c r="E34" s="43" t="n">
        <f aca="false">E11</f>
        <v>27623.728</v>
      </c>
      <c r="F34" s="44" t="n">
        <f aca="false">F11</f>
        <v>27623.728</v>
      </c>
      <c r="G34" s="43" t="n">
        <f aca="false">G11</f>
        <v>15466.828</v>
      </c>
      <c r="H34" s="45" t="n">
        <f aca="false">H11</f>
        <v>14371.9402453632</v>
      </c>
      <c r="I34" s="45" t="n">
        <f aca="false">I11</f>
        <v>15249.8688818989</v>
      </c>
      <c r="J34" s="45" t="n">
        <f aca="false">J11</f>
        <v>15434.590578888</v>
      </c>
      <c r="K34" s="44" t="n">
        <f aca="false">K11</f>
        <v>15434.590578888</v>
      </c>
      <c r="L34" s="45" t="n">
        <f aca="false">L11</f>
        <v>17876.974752</v>
      </c>
      <c r="M34" s="45" t="n">
        <f aca="false">M11</f>
        <v>15521.6954649923</v>
      </c>
      <c r="N34" s="45" t="n">
        <f aca="false">N11</f>
        <v>16469.8583924508</v>
      </c>
      <c r="O34" s="45" t="n">
        <f aca="false">O11</f>
        <v>16669.357825199</v>
      </c>
      <c r="P34" s="44" t="n">
        <f aca="false">P11</f>
        <v>16669.357825199</v>
      </c>
      <c r="Q34" s="45" t="n">
        <f aca="false">Q11</f>
        <v>19307.13273216</v>
      </c>
      <c r="R34" s="45" t="n">
        <f aca="false">R11</f>
        <v>16763.4311021916</v>
      </c>
      <c r="S34" s="45" t="n">
        <f aca="false">S11</f>
        <v>17787.4470638468</v>
      </c>
      <c r="T34" s="45" t="n">
        <f aca="false">T11</f>
        <v>18002.906451215</v>
      </c>
      <c r="U34" s="44" t="n">
        <f aca="false">U11</f>
        <v>18002.906451215</v>
      </c>
      <c r="W34" s="6" t="s">
        <v>206</v>
      </c>
    </row>
    <row r="35" customFormat="false" ht="15" hidden="false" customHeight="true" outlineLevel="0" collapsed="false">
      <c r="A35" s="22" t="s">
        <v>207</v>
      </c>
      <c r="B35" s="43" t="n">
        <f aca="false">B12</f>
        <v>2200.905</v>
      </c>
      <c r="C35" s="43" t="n">
        <f aca="false">C12</f>
        <v>1996.099</v>
      </c>
      <c r="D35" s="43" t="n">
        <f aca="false">D12</f>
        <v>2118.0333</v>
      </c>
      <c r="E35" s="43" t="n">
        <f aca="false">E12</f>
        <v>2281.22</v>
      </c>
      <c r="F35" s="44" t="n">
        <f aca="false">F12</f>
        <v>2281.22</v>
      </c>
      <c r="G35" s="43" t="n">
        <f aca="false">G12</f>
        <v>2239.829</v>
      </c>
      <c r="H35" s="45" t="n">
        <f aca="false">H12</f>
        <v>2211.06773005588</v>
      </c>
      <c r="I35" s="45" t="n">
        <f aca="false">I12</f>
        <v>2346.13367413829</v>
      </c>
      <c r="J35" s="45" t="n">
        <f aca="false">J12</f>
        <v>2374.552396752</v>
      </c>
      <c r="K35" s="44" t="n">
        <f aca="false">K12</f>
        <v>2374.552396752</v>
      </c>
      <c r="L35" s="45" t="n">
        <f aca="false">L12</f>
        <v>2750.303808</v>
      </c>
      <c r="M35" s="45" t="n">
        <f aca="false">M12</f>
        <v>2387.95314846035</v>
      </c>
      <c r="N35" s="45" t="n">
        <f aca="false">N12</f>
        <v>2533.82436806935</v>
      </c>
      <c r="O35" s="45" t="n">
        <f aca="false">O12</f>
        <v>2564.51658849216</v>
      </c>
      <c r="P35" s="44" t="n">
        <f aca="false">P12</f>
        <v>2564.51658849216</v>
      </c>
      <c r="Q35" s="45" t="n">
        <f aca="false">Q12</f>
        <v>2970.32811264</v>
      </c>
      <c r="R35" s="45" t="n">
        <f aca="false">R12</f>
        <v>2578.98940033718</v>
      </c>
      <c r="S35" s="45" t="n">
        <f aca="false">S12</f>
        <v>2736.5303175149</v>
      </c>
      <c r="T35" s="45" t="n">
        <f aca="false">T12</f>
        <v>2769.67791557153</v>
      </c>
      <c r="U35" s="44" t="n">
        <f aca="false">U12</f>
        <v>2769.67791557153</v>
      </c>
      <c r="W35" s="6" t="s">
        <v>208</v>
      </c>
    </row>
    <row r="36" customFormat="false" ht="15" hidden="false" customHeight="true" outlineLevel="0" collapsed="false">
      <c r="A36" s="22" t="s">
        <v>209</v>
      </c>
      <c r="B36" s="43" t="n">
        <f aca="false">B14</f>
        <v>4401.81</v>
      </c>
      <c r="C36" s="43" t="n">
        <f aca="false">C14</f>
        <v>3992.198</v>
      </c>
      <c r="D36" s="43" t="n">
        <f aca="false">D14</f>
        <v>4236.0666</v>
      </c>
      <c r="E36" s="43" t="n">
        <f aca="false">E14</f>
        <v>4795.537</v>
      </c>
      <c r="F36" s="44" t="n">
        <f aca="false">F14</f>
        <v>4795.537</v>
      </c>
      <c r="G36" s="43" t="n">
        <f aca="false">G14</f>
        <v>4617.537</v>
      </c>
      <c r="H36" s="45" t="n">
        <f aca="false">H14</f>
        <v>4422.13546011176</v>
      </c>
      <c r="I36" s="45" t="n">
        <f aca="false">I14</f>
        <v>4692.26734827657</v>
      </c>
      <c r="J36" s="45" t="n">
        <f aca="false">J14</f>
        <v>4749.104793504</v>
      </c>
      <c r="K36" s="44" t="n">
        <f aca="false">K14</f>
        <v>4749.104793504</v>
      </c>
      <c r="L36" s="45" t="n">
        <f aca="false">L14</f>
        <v>5500.607616</v>
      </c>
      <c r="M36" s="45" t="n">
        <f aca="false">M14</f>
        <v>4775.9062969207</v>
      </c>
      <c r="N36" s="45" t="n">
        <f aca="false">N14</f>
        <v>5067.6487361387</v>
      </c>
      <c r="O36" s="45" t="n">
        <f aca="false">O14</f>
        <v>5129.03317698432</v>
      </c>
      <c r="P36" s="44" t="n">
        <f aca="false">P14</f>
        <v>5129.03317698432</v>
      </c>
      <c r="Q36" s="45" t="n">
        <f aca="false">Q14</f>
        <v>5940.65622528</v>
      </c>
      <c r="R36" s="45" t="n">
        <f aca="false">R14</f>
        <v>5157.97880067435</v>
      </c>
      <c r="S36" s="45" t="n">
        <f aca="false">S14</f>
        <v>5473.0606350298</v>
      </c>
      <c r="T36" s="45" t="n">
        <f aca="false">T14</f>
        <v>5539.35583114307</v>
      </c>
      <c r="U36" s="44" t="n">
        <f aca="false">U14</f>
        <v>5539.35583114307</v>
      </c>
      <c r="W36" s="6" t="s">
        <v>210</v>
      </c>
    </row>
    <row r="37" customFormat="false" ht="15" hidden="false" customHeight="true" outlineLevel="0" collapsed="false">
      <c r="A37" s="12" t="s">
        <v>211</v>
      </c>
      <c r="B37" s="48" t="n">
        <f aca="false">SUM(B29:B36)</f>
        <v>88112.5742692308</v>
      </c>
      <c r="C37" s="48" t="n">
        <f aca="false">SUM(C29:C36)</f>
        <v>80249.3503461539</v>
      </c>
      <c r="D37" s="48" t="n">
        <f aca="false">SUM(D29:D36)</f>
        <v>84936.4552884615</v>
      </c>
      <c r="E37" s="48" t="n">
        <f aca="false">SUM(E29:E36)</f>
        <v>114017.117</v>
      </c>
      <c r="F37" s="49" t="n">
        <f aca="false">SUM(F29:F36)</f>
        <v>114017.117</v>
      </c>
      <c r="G37" s="48" t="n">
        <f aca="false">SUM(G29:G36)</f>
        <v>98268.591</v>
      </c>
      <c r="H37" s="48" t="n">
        <f aca="false">SUM(H29:H36)</f>
        <v>88838.5687597872</v>
      </c>
      <c r="I37" s="48" t="n">
        <f aca="false">SUM(I29:I36)</f>
        <v>94186.100994724</v>
      </c>
      <c r="J37" s="48" t="n">
        <f aca="false">SUM(J29:J36)</f>
        <v>95302.8355274848</v>
      </c>
      <c r="K37" s="49" t="n">
        <f aca="false">SUM(K29:K36)</f>
        <v>95302.8355274848</v>
      </c>
      <c r="L37" s="48" t="n">
        <f aca="false">SUM(L29:L36)</f>
        <v>110217.282878766</v>
      </c>
      <c r="M37" s="48" t="n">
        <f aca="false">SUM(M29:M36)</f>
        <v>95829.20032565</v>
      </c>
      <c r="N37" s="48" t="n">
        <f aca="false">SUM(N29:N36)</f>
        <v>101611.276930534</v>
      </c>
      <c r="O37" s="48" t="n">
        <f aca="false">SUM(O29:O36)</f>
        <v>102822.252023361</v>
      </c>
      <c r="P37" s="49" t="n">
        <f aca="false">SUM(P29:P36)</f>
        <v>102822.252023361</v>
      </c>
      <c r="Q37" s="48" t="n">
        <f aca="false">SUM(Q29:Q36)</f>
        <v>118920.86834092</v>
      </c>
      <c r="R37" s="48" t="n">
        <f aca="false">SUM(R29:R36)</f>
        <v>103382.607120037</v>
      </c>
      <c r="S37" s="48" t="n">
        <f aca="false">SUM(S29:S36)</f>
        <v>109628.109110428</v>
      </c>
      <c r="T37" s="48" t="n">
        <f aca="false">SUM(T29:T36)</f>
        <v>110936.812875226</v>
      </c>
      <c r="U37" s="49" t="n">
        <f aca="false">SUM(U29:U36)</f>
        <v>110936.812875226</v>
      </c>
    </row>
    <row r="39" customFormat="false" ht="15" hidden="false" customHeight="true" outlineLevel="0" collapsed="false">
      <c r="A39" s="12" t="s">
        <v>212</v>
      </c>
    </row>
    <row r="40" customFormat="false" ht="15" hidden="false" customHeight="true" outlineLevel="0" collapsed="false">
      <c r="A40" s="22" t="s">
        <v>213</v>
      </c>
      <c r="B40" s="57" t="n">
        <f aca="false">$E$40</f>
        <v>1074.711</v>
      </c>
      <c r="C40" s="57" t="n">
        <f aca="false">$E$40</f>
        <v>1074.711</v>
      </c>
      <c r="D40" s="57" t="n">
        <f aca="false">$E$40</f>
        <v>1074.711</v>
      </c>
      <c r="E40" s="31" t="n">
        <v>1074.711</v>
      </c>
      <c r="F40" s="44" t="n">
        <f aca="false">E40</f>
        <v>1074.711</v>
      </c>
      <c r="G40" s="31" t="n">
        <v>987.996</v>
      </c>
      <c r="H40" s="33" t="n">
        <f aca="false">G40*0.95</f>
        <v>938.5962</v>
      </c>
      <c r="I40" s="33" t="n">
        <f aca="false">H40*0.95</f>
        <v>891.66639</v>
      </c>
      <c r="J40" s="33" t="n">
        <f aca="false">I40*0.95</f>
        <v>847.0830705</v>
      </c>
      <c r="K40" s="44" t="n">
        <f aca="false">J40</f>
        <v>847.0830705</v>
      </c>
      <c r="L40" s="33" t="n">
        <f aca="false">K40*0.95</f>
        <v>804.728916975</v>
      </c>
      <c r="M40" s="33" t="n">
        <f aca="false">L40*0.95</f>
        <v>764.49247112625</v>
      </c>
      <c r="N40" s="33" t="n">
        <f aca="false">M40*0.95</f>
        <v>726.267847569937</v>
      </c>
      <c r="O40" s="33" t="n">
        <f aca="false">N40*0.95</f>
        <v>689.95445519144</v>
      </c>
      <c r="P40" s="44" t="n">
        <f aca="false">O40</f>
        <v>689.95445519144</v>
      </c>
      <c r="Q40" s="33" t="n">
        <f aca="false">P40*0.95</f>
        <v>655.456732431868</v>
      </c>
      <c r="R40" s="33" t="n">
        <f aca="false">Q40*0.95</f>
        <v>622.683895810275</v>
      </c>
      <c r="S40" s="33" t="n">
        <f aca="false">R40*0.95</f>
        <v>591.549701019761</v>
      </c>
      <c r="T40" s="33" t="n">
        <f aca="false">S40*0.95</f>
        <v>561.972215968773</v>
      </c>
      <c r="U40" s="44" t="n">
        <f aca="false">T40</f>
        <v>561.972215968773</v>
      </c>
      <c r="W40" s="6" t="s">
        <v>214</v>
      </c>
    </row>
    <row r="41" customFormat="false" ht="15" hidden="false" customHeight="true" outlineLevel="0" collapsed="false">
      <c r="A41" s="22" t="s">
        <v>215</v>
      </c>
      <c r="B41" s="57" t="n">
        <f aca="false">$E$41</f>
        <v>1885.983</v>
      </c>
      <c r="C41" s="57" t="n">
        <f aca="false">$E$41</f>
        <v>1885.983</v>
      </c>
      <c r="D41" s="57" t="n">
        <f aca="false">$E$41</f>
        <v>1885.983</v>
      </c>
      <c r="E41" s="31" t="n">
        <v>1885.983</v>
      </c>
      <c r="F41" s="44" t="n">
        <f aca="false">E41</f>
        <v>1885.983</v>
      </c>
      <c r="G41" s="31" t="n">
        <v>2790.905</v>
      </c>
      <c r="H41" s="33" t="n">
        <f aca="false">G41*0.98</f>
        <v>2735.0869</v>
      </c>
      <c r="I41" s="33" t="n">
        <f aca="false">H41*0.98</f>
        <v>2680.385162</v>
      </c>
      <c r="J41" s="33" t="n">
        <f aca="false">I41*0.98</f>
        <v>2626.77745876</v>
      </c>
      <c r="K41" s="44" t="n">
        <f aca="false">J41</f>
        <v>2626.77745876</v>
      </c>
      <c r="L41" s="33" t="n">
        <f aca="false">K41*0.98</f>
        <v>2574.2419095848</v>
      </c>
      <c r="M41" s="33" t="n">
        <f aca="false">L41*0.98</f>
        <v>2522.7570713931</v>
      </c>
      <c r="N41" s="33" t="n">
        <f aca="false">M41*0.98</f>
        <v>2472.30192996524</v>
      </c>
      <c r="O41" s="33" t="n">
        <f aca="false">N41*0.98</f>
        <v>2422.85589136594</v>
      </c>
      <c r="P41" s="44" t="n">
        <f aca="false">O41</f>
        <v>2422.85589136594</v>
      </c>
      <c r="Q41" s="33" t="n">
        <f aca="false">P41*0.98</f>
        <v>2374.39877353862</v>
      </c>
      <c r="R41" s="33" t="n">
        <f aca="false">Q41*0.98</f>
        <v>2326.91079806785</v>
      </c>
      <c r="S41" s="33" t="n">
        <f aca="false">R41*0.98</f>
        <v>2280.37258210649</v>
      </c>
      <c r="T41" s="33" t="n">
        <f aca="false">S41*0.98</f>
        <v>2234.76513046436</v>
      </c>
      <c r="U41" s="44" t="n">
        <f aca="false">T41</f>
        <v>2234.76513046436</v>
      </c>
      <c r="W41" s="6" t="s">
        <v>216</v>
      </c>
    </row>
    <row r="42" customFormat="false" ht="15" hidden="false" customHeight="true" outlineLevel="0" collapsed="false">
      <c r="A42" s="12" t="s">
        <v>217</v>
      </c>
      <c r="B42" s="48" t="n">
        <f aca="false">SUM(B40:B41)</f>
        <v>2960.694</v>
      </c>
      <c r="C42" s="48" t="n">
        <f aca="false">SUM(C40:C41)</f>
        <v>2960.694</v>
      </c>
      <c r="D42" s="48" t="n">
        <f aca="false">SUM(D40:D41)</f>
        <v>2960.694</v>
      </c>
      <c r="E42" s="48" t="n">
        <f aca="false">SUM(E40:E41)</f>
        <v>2960.694</v>
      </c>
      <c r="F42" s="49" t="n">
        <f aca="false">SUM(F40:F41)</f>
        <v>2960.694</v>
      </c>
      <c r="G42" s="48" t="n">
        <f aca="false">SUM(G40:G41)</f>
        <v>3778.901</v>
      </c>
      <c r="H42" s="48" t="n">
        <f aca="false">SUM(H40:H41)</f>
        <v>3673.6831</v>
      </c>
      <c r="I42" s="48" t="n">
        <f aca="false">SUM(I40:I41)</f>
        <v>3572.051552</v>
      </c>
      <c r="J42" s="48" t="n">
        <f aca="false">SUM(J40:J41)</f>
        <v>3473.86052926</v>
      </c>
      <c r="K42" s="49" t="n">
        <f aca="false">SUM(K40:K41)</f>
        <v>3473.86052926</v>
      </c>
      <c r="L42" s="48" t="n">
        <f aca="false">SUM(L40:L41)</f>
        <v>3378.9708265598</v>
      </c>
      <c r="M42" s="48" t="n">
        <f aca="false">SUM(M40:M41)</f>
        <v>3287.24954251935</v>
      </c>
      <c r="N42" s="48" t="n">
        <f aca="false">SUM(N40:N41)</f>
        <v>3198.56977753518</v>
      </c>
      <c r="O42" s="48" t="n">
        <f aca="false">SUM(O40:O41)</f>
        <v>3112.81034655738</v>
      </c>
      <c r="P42" s="49" t="n">
        <f aca="false">SUM(P40:P41)</f>
        <v>3112.81034655738</v>
      </c>
      <c r="Q42" s="48" t="n">
        <f aca="false">SUM(Q40:Q41)</f>
        <v>3029.85550597049</v>
      </c>
      <c r="R42" s="48" t="n">
        <f aca="false">SUM(R40:R41)</f>
        <v>2949.59469387812</v>
      </c>
      <c r="S42" s="48" t="n">
        <f aca="false">SUM(S40:S41)</f>
        <v>2871.92228312625</v>
      </c>
      <c r="T42" s="48" t="n">
        <f aca="false">SUM(T40:T41)</f>
        <v>2796.73734643313</v>
      </c>
      <c r="U42" s="49" t="n">
        <f aca="false">SUM(U40:U41)</f>
        <v>2796.73734643313</v>
      </c>
    </row>
    <row r="43" customFormat="false" ht="15" hidden="false" customHeight="true" outlineLevel="0" collapsed="false">
      <c r="A43" s="37" t="s">
        <v>218</v>
      </c>
      <c r="B43" s="59" t="n">
        <f aca="false">B37+B42</f>
        <v>91073.2682692308</v>
      </c>
      <c r="C43" s="59" t="n">
        <f aca="false">C37+C42</f>
        <v>83210.0443461539</v>
      </c>
      <c r="D43" s="59" t="n">
        <f aca="false">D37+D42</f>
        <v>87897.1492884615</v>
      </c>
      <c r="E43" s="59" t="n">
        <f aca="false">E37+E42</f>
        <v>116977.811</v>
      </c>
      <c r="F43" s="60" t="n">
        <f aca="false">F37+F42</f>
        <v>116977.811</v>
      </c>
      <c r="G43" s="59" t="n">
        <f aca="false">G37+G42</f>
        <v>102047.492</v>
      </c>
      <c r="H43" s="59" t="n">
        <f aca="false">H37+H42</f>
        <v>92512.2518597872</v>
      </c>
      <c r="I43" s="59" t="n">
        <f aca="false">I37+I42</f>
        <v>97758.152546724</v>
      </c>
      <c r="J43" s="59" t="n">
        <f aca="false">J37+J42</f>
        <v>98776.6960567448</v>
      </c>
      <c r="K43" s="60" t="n">
        <f aca="false">K37+K42</f>
        <v>98776.6960567448</v>
      </c>
      <c r="L43" s="59" t="n">
        <f aca="false">L37+L42</f>
        <v>113596.253705326</v>
      </c>
      <c r="M43" s="59" t="n">
        <f aca="false">M37+M42</f>
        <v>99116.4498681693</v>
      </c>
      <c r="N43" s="59" t="n">
        <f aca="false">N37+N42</f>
        <v>104809.846708069</v>
      </c>
      <c r="O43" s="59" t="n">
        <f aca="false">O37+O42</f>
        <v>105935.062369918</v>
      </c>
      <c r="P43" s="60" t="n">
        <f aca="false">P37+P42</f>
        <v>105935.062369918</v>
      </c>
      <c r="Q43" s="59" t="n">
        <f aca="false">Q37+Q42</f>
        <v>121950.723846891</v>
      </c>
      <c r="R43" s="59" t="n">
        <f aca="false">R37+R42</f>
        <v>106332.201813915</v>
      </c>
      <c r="S43" s="59" t="n">
        <f aca="false">S37+S42</f>
        <v>112500.031393554</v>
      </c>
      <c r="T43" s="59" t="n">
        <f aca="false">T37+T42</f>
        <v>113733.550221659</v>
      </c>
      <c r="U43" s="60" t="n">
        <f aca="false">U37+U42</f>
        <v>113733.550221659</v>
      </c>
    </row>
    <row r="45" customFormat="false" ht="15" hidden="false" customHeight="true" outlineLevel="0" collapsed="false">
      <c r="A45" s="12" t="s">
        <v>219</v>
      </c>
    </row>
    <row r="46" customFormat="false" ht="15" hidden="false" customHeight="true" outlineLevel="0" collapsed="false">
      <c r="A46" s="22" t="s">
        <v>220</v>
      </c>
      <c r="B46" s="57" t="n">
        <f aca="false">$E$46</f>
        <v>88457.398</v>
      </c>
      <c r="C46" s="57" t="n">
        <f aca="false">$E$46</f>
        <v>88457.398</v>
      </c>
      <c r="D46" s="57" t="n">
        <f aca="false">$E$46</f>
        <v>88457.398</v>
      </c>
      <c r="E46" s="31" t="n">
        <v>88457.398</v>
      </c>
      <c r="F46" s="44" t="n">
        <f aca="false">E46</f>
        <v>88457.398</v>
      </c>
      <c r="G46" s="31" t="n">
        <v>88567.403</v>
      </c>
      <c r="H46" s="45" t="n">
        <f aca="false">G46+'Income Statement'!H13-Assumptions!H25+'Cash Flow Statement'!H26</f>
        <v>88716.8418049073</v>
      </c>
      <c r="I46" s="45" t="n">
        <f aca="false">H46+'Income Statement'!I13-Assumptions!I25+'Cash Flow Statement'!I26</f>
        <v>88883.8391825452</v>
      </c>
      <c r="J46" s="45" t="n">
        <f aca="false">I46+'Income Statement'!J13-Assumptions!J25+'Cash Flow Statement'!J26</f>
        <v>89054.530994123</v>
      </c>
      <c r="K46" s="44" t="n">
        <f aca="false">J46</f>
        <v>89054.530994123</v>
      </c>
      <c r="L46" s="45" t="n">
        <f aca="false">K46+'Income Statement'!L13-Assumptions!L25+'Cash Flow Statement'!L26</f>
        <v>89274.070489163</v>
      </c>
      <c r="M46" s="45" t="n">
        <f aca="false">L46+'Income Statement'!M13-Assumptions!M25+'Cash Flow Statement'!M26</f>
        <v>89446.5043984628</v>
      </c>
      <c r="N46" s="45" t="n">
        <f aca="false">M46+'Income Statement'!N13-Assumptions!N25+'Cash Flow Statement'!N26</f>
        <v>89637.9015663119</v>
      </c>
      <c r="O46" s="45" t="n">
        <f aca="false">N46+'Income Statement'!O13-Assumptions!O25+'Cash Flow Statement'!O26</f>
        <v>89833.2887228158</v>
      </c>
      <c r="P46" s="44" t="n">
        <f aca="false">O46</f>
        <v>89833.2887228158</v>
      </c>
      <c r="Q46" s="45" t="n">
        <f aca="false">P46+'Income Statement'!Q13-Assumptions!Q25+'Cash Flow Statement'!Q26</f>
        <v>90081.431377459</v>
      </c>
      <c r="R46" s="45" t="n">
        <f aca="false">Q46+'Income Statement'!R13-Assumptions!R25+'Cash Flow Statement'!R26</f>
        <v>90278.6999995029</v>
      </c>
      <c r="S46" s="45" t="n">
        <f aca="false">R46+'Income Statement'!S13-Assumptions!S25+'Cash Flow Statement'!S26</f>
        <v>90496.4489407798</v>
      </c>
      <c r="T46" s="45" t="n">
        <f aca="false">S46+'Income Statement'!T13-Assumptions!T25+'Cash Flow Statement'!T26</f>
        <v>90718.5070698041</v>
      </c>
      <c r="U46" s="44" t="n">
        <f aca="false">T46</f>
        <v>90718.5070698041</v>
      </c>
      <c r="W46" s="6" t="s">
        <v>221</v>
      </c>
    </row>
    <row r="47" customFormat="false" ht="15" hidden="false" customHeight="true" outlineLevel="0" collapsed="false">
      <c r="A47" s="22" t="s">
        <v>222</v>
      </c>
      <c r="B47" s="57" t="n">
        <f aca="false">C47-'Income Statement'!C24</f>
        <v>-68278.345</v>
      </c>
      <c r="C47" s="57" t="n">
        <f aca="false">D47-'Income Statement'!D24</f>
        <v>-68644.995</v>
      </c>
      <c r="D47" s="57" t="n">
        <f aca="false">$E$47-'Income Statement'!E24</f>
        <v>-69044.995</v>
      </c>
      <c r="E47" s="31" t="n">
        <v>-70544.995</v>
      </c>
      <c r="F47" s="44" t="n">
        <f aca="false">E47</f>
        <v>-70544.995</v>
      </c>
      <c r="G47" s="31" t="n">
        <v>-70422.492</v>
      </c>
      <c r="H47" s="45" t="n">
        <f aca="false">G47+'Income Statement'!H24</f>
        <v>-69769.4029320259</v>
      </c>
      <c r="I47" s="45" t="n">
        <f aca="false">H47+'Income Statement'!I24</f>
        <v>-69033.0084389862</v>
      </c>
      <c r="J47" s="45" t="n">
        <f aca="false">I47+'Income Statement'!J24</f>
        <v>-68255.6119011183</v>
      </c>
      <c r="K47" s="44" t="n">
        <f aca="false">J47</f>
        <v>-68255.6119011183</v>
      </c>
      <c r="L47" s="45" t="n">
        <f aca="false">K47+'Income Statement'!L24</f>
        <v>-67466.6353415023</v>
      </c>
      <c r="M47" s="45" t="n">
        <f aca="false">L47+'Income Statement'!M24</f>
        <v>-66768.9711480903</v>
      </c>
      <c r="N47" s="45" t="n">
        <f aca="false">M47+'Income Statement'!N24</f>
        <v>-66034.5474073368</v>
      </c>
      <c r="O47" s="45" t="n">
        <f aca="false">N47+'Income Statement'!O24</f>
        <v>-65292.3892270368</v>
      </c>
      <c r="P47" s="44" t="n">
        <f aca="false">O47</f>
        <v>-65292.3892270368</v>
      </c>
      <c r="Q47" s="45" t="n">
        <f aca="false">P47+'Income Statement'!Q24</f>
        <v>-64447.9665426515</v>
      </c>
      <c r="R47" s="45" t="n">
        <f aca="false">Q47+'Income Statement'!R24</f>
        <v>-63702.1612137666</v>
      </c>
      <c r="S47" s="45" t="n">
        <f aca="false">R47+'Income Statement'!S24</f>
        <v>-62916.6555737528</v>
      </c>
      <c r="T47" s="45" t="n">
        <f aca="false">S47+'Income Statement'!T24</f>
        <v>-62122.7967390288</v>
      </c>
      <c r="U47" s="44" t="n">
        <f aca="false">T47</f>
        <v>-62122.7967390288</v>
      </c>
      <c r="W47" s="6" t="s">
        <v>223</v>
      </c>
    </row>
    <row r="48" customFormat="false" ht="15" hidden="false" customHeight="true" outlineLevel="0" collapsed="false">
      <c r="A48" s="37" t="s">
        <v>224</v>
      </c>
      <c r="B48" s="59" t="n">
        <f aca="false">B46+B47</f>
        <v>20179.053</v>
      </c>
      <c r="C48" s="59" t="n">
        <f aca="false">C46+C47</f>
        <v>19812.403</v>
      </c>
      <c r="D48" s="59" t="n">
        <f aca="false">D46+D47</f>
        <v>19412.403</v>
      </c>
      <c r="E48" s="59" t="n">
        <f aca="false">E46+E47</f>
        <v>17912.403</v>
      </c>
      <c r="F48" s="60" t="n">
        <f aca="false">F46+F47</f>
        <v>17912.403</v>
      </c>
      <c r="G48" s="59" t="n">
        <f aca="false">G46+G47</f>
        <v>18144.911</v>
      </c>
      <c r="H48" s="59" t="n">
        <f aca="false">H46+H47</f>
        <v>18947.4388728814</v>
      </c>
      <c r="I48" s="59" t="n">
        <f aca="false">I46+I47</f>
        <v>19850.8307435591</v>
      </c>
      <c r="J48" s="59" t="n">
        <f aca="false">J46+J47</f>
        <v>20798.9190930047</v>
      </c>
      <c r="K48" s="60" t="n">
        <f aca="false">K46+K47</f>
        <v>20798.9190930047</v>
      </c>
      <c r="L48" s="59" t="n">
        <f aca="false">L46+L47</f>
        <v>21807.4351476607</v>
      </c>
      <c r="M48" s="59" t="n">
        <f aca="false">M46+M47</f>
        <v>22677.5332503725</v>
      </c>
      <c r="N48" s="59" t="n">
        <f aca="false">N46+N47</f>
        <v>23603.354158975</v>
      </c>
      <c r="O48" s="59" t="n">
        <f aca="false">O46+O47</f>
        <v>24540.899495779</v>
      </c>
      <c r="P48" s="60" t="n">
        <f aca="false">P46+P47</f>
        <v>24540.899495779</v>
      </c>
      <c r="Q48" s="59" t="n">
        <f aca="false">Q46+Q47</f>
        <v>25633.4648348075</v>
      </c>
      <c r="R48" s="59" t="n">
        <f aca="false">R46+R47</f>
        <v>26576.5387857363</v>
      </c>
      <c r="S48" s="59" t="n">
        <f aca="false">S46+S47</f>
        <v>27579.793367027</v>
      </c>
      <c r="T48" s="59" t="n">
        <f aca="false">T46+T47</f>
        <v>28595.7103307753</v>
      </c>
      <c r="U48" s="60" t="n">
        <f aca="false">U46+U47</f>
        <v>28595.7103307753</v>
      </c>
    </row>
    <row r="49" customFormat="false" ht="15" hidden="false" customHeight="true" outlineLevel="0" collapsed="false">
      <c r="A49" s="37" t="s">
        <v>225</v>
      </c>
      <c r="B49" s="40" t="n">
        <f aca="false">B43+B48</f>
        <v>111252.321269231</v>
      </c>
      <c r="C49" s="40" t="n">
        <f aca="false">C43+C48</f>
        <v>103022.447346154</v>
      </c>
      <c r="D49" s="40" t="n">
        <f aca="false">D43+D48</f>
        <v>107309.552288462</v>
      </c>
      <c r="E49" s="40" t="n">
        <f aca="false">E43+E48</f>
        <v>134890.214</v>
      </c>
      <c r="F49" s="58" t="n">
        <f aca="false">F43+F48</f>
        <v>134890.214</v>
      </c>
      <c r="G49" s="40" t="n">
        <f aca="false">G43+G48</f>
        <v>120192.403</v>
      </c>
      <c r="H49" s="40" t="n">
        <f aca="false">H43+H48</f>
        <v>111459.690732669</v>
      </c>
      <c r="I49" s="40" t="n">
        <f aca="false">I43+I48</f>
        <v>117608.983290283</v>
      </c>
      <c r="J49" s="40" t="n">
        <f aca="false">J43+J48</f>
        <v>119575.615149749</v>
      </c>
      <c r="K49" s="58" t="n">
        <f aca="false">K43+K48</f>
        <v>119575.615149749</v>
      </c>
      <c r="L49" s="40" t="n">
        <f aca="false">L43+L48</f>
        <v>135403.688852986</v>
      </c>
      <c r="M49" s="40" t="n">
        <f aca="false">M43+M48</f>
        <v>121793.983118542</v>
      </c>
      <c r="N49" s="40" t="n">
        <f aca="false">N43+N48</f>
        <v>128413.200867044</v>
      </c>
      <c r="O49" s="40" t="n">
        <f aca="false">O43+O48</f>
        <v>130475.961865697</v>
      </c>
      <c r="P49" s="58" t="n">
        <f aca="false">P43+P48</f>
        <v>130475.961865697</v>
      </c>
      <c r="Q49" s="40" t="n">
        <f aca="false">Q43+Q48</f>
        <v>147584.188681698</v>
      </c>
      <c r="R49" s="40" t="n">
        <f aca="false">R43+R48</f>
        <v>132908.740599651</v>
      </c>
      <c r="S49" s="40" t="n">
        <f aca="false">S43+S48</f>
        <v>140079.824760581</v>
      </c>
      <c r="T49" s="40" t="n">
        <f aca="false">T43+T48</f>
        <v>142329.260552435</v>
      </c>
      <c r="U49" s="58" t="n">
        <f aca="false">U43+U48</f>
        <v>142329.260552435</v>
      </c>
    </row>
    <row r="51" customFormat="false" ht="15" hidden="false" customHeight="true" outlineLevel="0" collapsed="false">
      <c r="A51" s="6" t="s">
        <v>226</v>
      </c>
      <c r="B51" s="61" t="n">
        <f aca="false">B25-B49</f>
        <v>-3338.95786538461</v>
      </c>
      <c r="C51" s="61" t="n">
        <f aca="false">C25-C49</f>
        <v>-3233.41311538464</v>
      </c>
      <c r="D51" s="61" t="n">
        <f aca="false">D25-D49</f>
        <v>-2709.88095879124</v>
      </c>
      <c r="E51" s="61" t="n">
        <f aca="false">E25-E49</f>
        <v>0</v>
      </c>
      <c r="F51" s="61" t="n">
        <f aca="false">F25-F49</f>
        <v>0</v>
      </c>
      <c r="G51" s="61" t="n">
        <f aca="false">G25-G49</f>
        <v>0</v>
      </c>
      <c r="H51" s="61" t="n">
        <f aca="false">H25-H49</f>
        <v>0</v>
      </c>
      <c r="I51" s="61" t="n">
        <f aca="false">I25-I49</f>
        <v>0</v>
      </c>
      <c r="J51" s="61" t="n">
        <f aca="false">J25-J49</f>
        <v>0</v>
      </c>
      <c r="K51" s="61" t="n">
        <f aca="false">K25-K49</f>
        <v>0</v>
      </c>
      <c r="L51" s="61" t="n">
        <f aca="false">L25-L49</f>
        <v>0</v>
      </c>
      <c r="M51" s="61" t="n">
        <f aca="false">M25-M49</f>
        <v>0</v>
      </c>
      <c r="N51" s="61" t="n">
        <f aca="false">N25-N49</f>
        <v>0</v>
      </c>
      <c r="O51" s="61" t="n">
        <f aca="false">O25-O49</f>
        <v>0</v>
      </c>
      <c r="P51" s="61" t="n">
        <f aca="false">P25-P49</f>
        <v>0</v>
      </c>
      <c r="Q51" s="61" t="n">
        <f aca="false">Q25-Q49</f>
        <v>0</v>
      </c>
      <c r="R51" s="61" t="n">
        <f aca="false">R25-R49</f>
        <v>0</v>
      </c>
      <c r="S51" s="61" t="n">
        <f aca="false">S25-S49</f>
        <v>0</v>
      </c>
      <c r="T51" s="61" t="n">
        <f aca="false">T25-T49</f>
        <v>0</v>
      </c>
      <c r="U51" s="61" t="n">
        <f aca="false">U25-U49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1" min="2" style="1" width="10"/>
    <col collapsed="false" customWidth="true" hidden="false" outlineLevel="0" max="23" min="23" style="1" width="100"/>
  </cols>
  <sheetData>
    <row r="1" customFormat="false" ht="17.25" hidden="false" customHeight="true" outlineLevel="0" collapsed="false">
      <c r="A1" s="2" t="s">
        <v>227</v>
      </c>
    </row>
    <row r="2" customFormat="false" ht="15" hidden="false" customHeight="true" outlineLevel="0" collapsed="false">
      <c r="A2" s="6" t="s">
        <v>228</v>
      </c>
    </row>
    <row r="4" customFormat="false" ht="15" hidden="false" customHeight="true" outlineLevel="0" collapsed="false">
      <c r="A4" s="21" t="s">
        <v>90</v>
      </c>
      <c r="B4" s="8" t="s">
        <v>34</v>
      </c>
      <c r="C4" s="8" t="s">
        <v>35</v>
      </c>
      <c r="D4" s="8" t="s">
        <v>36</v>
      </c>
      <c r="E4" s="8" t="s">
        <v>37</v>
      </c>
      <c r="F4" s="9" t="s">
        <v>38</v>
      </c>
      <c r="G4" s="8" t="s">
        <v>39</v>
      </c>
      <c r="H4" s="8" t="s">
        <v>40</v>
      </c>
      <c r="I4" s="8" t="s">
        <v>41</v>
      </c>
      <c r="J4" s="8" t="s">
        <v>42</v>
      </c>
      <c r="K4" s="9" t="s">
        <v>43</v>
      </c>
      <c r="L4" s="8" t="s">
        <v>44</v>
      </c>
      <c r="M4" s="8" t="s">
        <v>45</v>
      </c>
      <c r="N4" s="8" t="s">
        <v>46</v>
      </c>
      <c r="O4" s="8" t="s">
        <v>47</v>
      </c>
      <c r="P4" s="9" t="s">
        <v>48</v>
      </c>
      <c r="Q4" s="8" t="s">
        <v>49</v>
      </c>
      <c r="R4" s="8" t="s">
        <v>50</v>
      </c>
      <c r="S4" s="8" t="s">
        <v>51</v>
      </c>
      <c r="T4" s="8" t="s">
        <v>52</v>
      </c>
      <c r="U4" s="9" t="s">
        <v>53</v>
      </c>
    </row>
    <row r="6" customFormat="false" ht="15" hidden="false" customHeight="true" outlineLevel="0" collapsed="false">
      <c r="A6" s="10" t="s">
        <v>229</v>
      </c>
      <c r="B6" s="11"/>
      <c r="C6" s="11"/>
      <c r="D6" s="11"/>
      <c r="E6" s="11"/>
      <c r="F6" s="11"/>
      <c r="G6" s="11"/>
      <c r="H6" s="11"/>
      <c r="I6" s="11"/>
      <c r="J6" s="11"/>
      <c r="K6" s="11"/>
      <c r="L6" s="11"/>
      <c r="M6" s="11"/>
      <c r="N6" s="11"/>
      <c r="O6" s="11"/>
      <c r="P6" s="11"/>
      <c r="Q6" s="11"/>
      <c r="R6" s="11"/>
      <c r="S6" s="11"/>
      <c r="T6" s="11"/>
      <c r="U6" s="11"/>
    </row>
    <row r="7" customFormat="false" ht="15" hidden="false" customHeight="true" outlineLevel="0" collapsed="false">
      <c r="A7" s="51" t="s">
        <v>230</v>
      </c>
      <c r="B7" s="43" t="n">
        <f aca="false">'Income Statement'!B24</f>
        <v>-234.970000000001</v>
      </c>
      <c r="C7" s="43" t="n">
        <f aca="false">'Income Statement'!C24</f>
        <v>-366.649999999999</v>
      </c>
      <c r="D7" s="43" t="n">
        <f aca="false">'Income Statement'!D24</f>
        <v>-400</v>
      </c>
      <c r="E7" s="43" t="n">
        <f aca="false">'Income Statement'!E24</f>
        <v>-1500</v>
      </c>
      <c r="F7" s="32" t="n">
        <f aca="false">SUM(B7:E7)</f>
        <v>-2501.62</v>
      </c>
      <c r="G7" s="43" t="n">
        <f aca="false">'Income Statement'!G24</f>
        <v>191.168</v>
      </c>
      <c r="H7" s="45" t="n">
        <f aca="false">'Income Statement'!H24</f>
        <v>653.089067974081</v>
      </c>
      <c r="I7" s="45" t="n">
        <f aca="false">'Income Statement'!I24</f>
        <v>736.394493039752</v>
      </c>
      <c r="J7" s="45" t="n">
        <f aca="false">'Income Statement'!J24</f>
        <v>777.396537867825</v>
      </c>
      <c r="K7" s="32" t="n">
        <f aca="false">SUM(G7:J7)</f>
        <v>2358.04809888166</v>
      </c>
      <c r="L7" s="45" t="n">
        <f aca="false">'Income Statement'!L24</f>
        <v>788.976559616001</v>
      </c>
      <c r="M7" s="45" t="n">
        <f aca="false">'Income Statement'!M24</f>
        <v>697.664193412008</v>
      </c>
      <c r="N7" s="45" t="n">
        <f aca="false">'Income Statement'!N24</f>
        <v>734.423740753476</v>
      </c>
      <c r="O7" s="45" t="n">
        <f aca="false">'Income Statement'!O24</f>
        <v>742.158180300025</v>
      </c>
      <c r="P7" s="32" t="n">
        <f aca="false">SUM(L7:O7)</f>
        <v>2963.22267408151</v>
      </c>
      <c r="Q7" s="45" t="n">
        <f aca="false">'Income Statement'!Q24</f>
        <v>844.42268438528</v>
      </c>
      <c r="R7" s="45" t="n">
        <f aca="false">'Income Statement'!R24</f>
        <v>745.805328884968</v>
      </c>
      <c r="S7" s="45" t="n">
        <f aca="false">'Income Statement'!S24</f>
        <v>785.505640013754</v>
      </c>
      <c r="T7" s="45" t="n">
        <f aca="false">'Income Statement'!T24</f>
        <v>793.858834724027</v>
      </c>
      <c r="U7" s="32" t="n">
        <f aca="false">SUM(Q7:T7)</f>
        <v>3169.59248800803</v>
      </c>
    </row>
    <row r="8" customFormat="false" ht="15" hidden="false" customHeight="true" outlineLevel="0" collapsed="false">
      <c r="A8" s="51" t="s">
        <v>231</v>
      </c>
      <c r="B8" s="43" t="n">
        <f aca="false">'Income Statement'!B15</f>
        <v>495.77</v>
      </c>
      <c r="C8" s="43" t="n">
        <f aca="false">'Income Statement'!C15</f>
        <v>464.599</v>
      </c>
      <c r="D8" s="43" t="n">
        <f aca="false">'Income Statement'!D15</f>
        <v>432.846</v>
      </c>
      <c r="E8" s="43" t="n">
        <f aca="false">'Income Statement'!E15</f>
        <v>353.518</v>
      </c>
      <c r="F8" s="32" t="n">
        <f aca="false">SUM(B8:E8)</f>
        <v>1746.733</v>
      </c>
      <c r="G8" s="43" t="n">
        <f aca="false">'Income Statement'!G15</f>
        <v>225.745</v>
      </c>
      <c r="H8" s="45" t="n">
        <f aca="false">'Income Statement'!H15</f>
        <v>243.217450306146</v>
      </c>
      <c r="I8" s="45" t="n">
        <f aca="false">'Income Statement'!I15</f>
        <v>258.074704155211</v>
      </c>
      <c r="J8" s="45" t="n">
        <f aca="false">'Income Statement'!J15</f>
        <v>261.20076364272</v>
      </c>
      <c r="K8" s="32" t="n">
        <f aca="false">SUM(G8:J8)</f>
        <v>988.237918104078</v>
      </c>
      <c r="L8" s="45" t="n">
        <f aca="false">'Income Statement'!L15</f>
        <v>302.53341888</v>
      </c>
      <c r="M8" s="45" t="n">
        <f aca="false">'Income Statement'!M15</f>
        <v>262.674846330638</v>
      </c>
      <c r="N8" s="45" t="n">
        <f aca="false">'Income Statement'!N15</f>
        <v>278.720680487628</v>
      </c>
      <c r="O8" s="45" t="n">
        <f aca="false">'Income Statement'!O15</f>
        <v>282.096824734138</v>
      </c>
      <c r="P8" s="32" t="n">
        <f aca="false">SUM(L8:O8)</f>
        <v>1126.0257704324</v>
      </c>
      <c r="Q8" s="45" t="n">
        <f aca="false">'Income Statement'!Q15</f>
        <v>326.7360923904</v>
      </c>
      <c r="R8" s="45" t="n">
        <f aca="false">'Income Statement'!R15</f>
        <v>283.688834037089</v>
      </c>
      <c r="S8" s="45" t="n">
        <f aca="false">'Income Statement'!S15</f>
        <v>301.018334926639</v>
      </c>
      <c r="T8" s="45" t="n">
        <f aca="false">'Income Statement'!T15</f>
        <v>304.664570712869</v>
      </c>
      <c r="U8" s="32" t="n">
        <f aca="false">SUM(Q8:T8)</f>
        <v>1216.107832067</v>
      </c>
    </row>
    <row r="9" customFormat="false" ht="15" hidden="false" customHeight="true" outlineLevel="0" collapsed="false">
      <c r="A9" s="51" t="s">
        <v>232</v>
      </c>
      <c r="B9" s="43" t="n">
        <f aca="false">'Income Statement'!B13</f>
        <v>410.062</v>
      </c>
      <c r="C9" s="43" t="n">
        <f aca="false">'Income Statement'!C13</f>
        <v>434.255</v>
      </c>
      <c r="D9" s="43" t="n">
        <f aca="false">'Income Statement'!D13</f>
        <v>399.582</v>
      </c>
      <c r="E9" s="43" t="n">
        <f aca="false">'Income Statement'!E13</f>
        <v>315.63</v>
      </c>
      <c r="F9" s="32" t="n">
        <f aca="false">SUM(B9:E9)</f>
        <v>1559.529</v>
      </c>
      <c r="G9" s="43" t="n">
        <f aca="false">'Income Statement'!G13</f>
        <v>329.284</v>
      </c>
      <c r="H9" s="45" t="n">
        <f aca="false">'Income Statement'!H13</f>
        <v>287.438804907264</v>
      </c>
      <c r="I9" s="45" t="n">
        <f aca="false">'Income Statement'!I13</f>
        <v>304.997377637977</v>
      </c>
      <c r="J9" s="45" t="n">
        <f aca="false">'Income Statement'!J13</f>
        <v>308.69181157776</v>
      </c>
      <c r="K9" s="32" t="n">
        <f aca="false">SUM(G9:J9)</f>
        <v>1230.411994123</v>
      </c>
      <c r="L9" s="45" t="n">
        <f aca="false">'Income Statement'!L13</f>
        <v>357.53949504</v>
      </c>
      <c r="M9" s="45" t="n">
        <f aca="false">'Income Statement'!M13</f>
        <v>310.433909299845</v>
      </c>
      <c r="N9" s="45" t="n">
        <f aca="false">'Income Statement'!N13</f>
        <v>329.397167849015</v>
      </c>
      <c r="O9" s="45" t="n">
        <f aca="false">'Income Statement'!O13</f>
        <v>333.387156503981</v>
      </c>
      <c r="P9" s="32" t="n">
        <f aca="false">SUM(L9:O9)</f>
        <v>1330.75772869284</v>
      </c>
      <c r="Q9" s="45" t="n">
        <f aca="false">'Income Statement'!Q13</f>
        <v>386.1426546432</v>
      </c>
      <c r="R9" s="45" t="n">
        <f aca="false">'Income Statement'!R13</f>
        <v>335.268622043833</v>
      </c>
      <c r="S9" s="45" t="n">
        <f aca="false">'Income Statement'!S13</f>
        <v>355.748941276937</v>
      </c>
      <c r="T9" s="45" t="n">
        <f aca="false">'Income Statement'!T13</f>
        <v>360.058129024299</v>
      </c>
      <c r="U9" s="32" t="n">
        <f aca="false">SUM(Q9:T9)</f>
        <v>1437.21834698827</v>
      </c>
    </row>
    <row r="10" customFormat="false" ht="15" hidden="false" customHeight="true" outlineLevel="0" collapsed="false">
      <c r="A10" s="6" t="s">
        <v>233</v>
      </c>
    </row>
    <row r="11" customFormat="false" ht="15" hidden="false" customHeight="true" outlineLevel="0" collapsed="false">
      <c r="A11" s="51" t="s">
        <v>234</v>
      </c>
      <c r="B11" s="57" t="n">
        <v>0</v>
      </c>
      <c r="C11" s="43" t="n">
        <f aca="false">'Balance Sheet'!B9-'Balance Sheet'!C9</f>
        <v>427.616923076923</v>
      </c>
      <c r="D11" s="43" t="n">
        <f aca="false">'Balance Sheet'!C9-'Balance Sheet'!D9</f>
        <v>-254.588098901098</v>
      </c>
      <c r="E11" s="43" t="n">
        <f aca="false">'Balance Sheet'!D9-'Balance Sheet'!E9</f>
        <v>-852.318670329671</v>
      </c>
      <c r="F11" s="32" t="n">
        <f aca="false">SUM(B11:E11)</f>
        <v>-679.289846153846</v>
      </c>
      <c r="G11" s="43" t="n">
        <f aca="false">'Balance Sheet'!F9-'Balance Sheet'!G9</f>
        <v>-144.067</v>
      </c>
      <c r="H11" s="45" t="n">
        <f aca="false">'Balance Sheet'!G9-'Balance Sheet'!H9</f>
        <v>802.137959223994</v>
      </c>
      <c r="I11" s="45" t="n">
        <f aca="false">'Balance Sheet'!H9-'Balance Sheet'!I9</f>
        <v>-282.00581731492</v>
      </c>
      <c r="J11" s="45" t="n">
        <f aca="false">'Balance Sheet'!I9-'Balance Sheet'!J9</f>
        <v>-59.3357944681939</v>
      </c>
      <c r="K11" s="32" t="n">
        <f aca="false">SUM(G11:J11)</f>
        <v>316.72934744088</v>
      </c>
      <c r="L11" s="45" t="n">
        <f aca="false">'Balance Sheet'!K9-'Balance Sheet'!L9</f>
        <v>-784.535913594727</v>
      </c>
      <c r="M11" s="45" t="n">
        <f aca="false">'Balance Sheet'!L9-'Balance Sheet'!M9</f>
        <v>756.556322115758</v>
      </c>
      <c r="N11" s="45" t="n">
        <f aca="false">'Balance Sheet'!M9-'Balance Sheet'!N9</f>
        <v>-304.566282700113</v>
      </c>
      <c r="O11" s="45" t="n">
        <f aca="false">'Balance Sheet'!N9-'Balance Sheet'!O9</f>
        <v>-64.0826580256498</v>
      </c>
      <c r="P11" s="32" t="n">
        <f aca="false">SUM(L11:O11)</f>
        <v>-396.628532204732</v>
      </c>
      <c r="Q11" s="45" t="n">
        <f aca="false">'Balance Sheet'!P9-'Balance Sheet'!Q9</f>
        <v>-847.298786682301</v>
      </c>
      <c r="R11" s="45" t="n">
        <f aca="false">'Balance Sheet'!Q9-'Balance Sheet'!R9</f>
        <v>817.080827885018</v>
      </c>
      <c r="S11" s="45" t="n">
        <f aca="false">'Balance Sheet'!R9-'Balance Sheet'!S9</f>
        <v>-328.931585316122</v>
      </c>
      <c r="T11" s="45" t="n">
        <f aca="false">'Balance Sheet'!S9-'Balance Sheet'!T9</f>
        <v>-69.2092706677013</v>
      </c>
      <c r="U11" s="32" t="n">
        <f aca="false">SUM(Q11:T11)</f>
        <v>-428.358814781107</v>
      </c>
      <c r="W11" s="6" t="s">
        <v>235</v>
      </c>
    </row>
    <row r="12" customFormat="false" ht="15" hidden="false" customHeight="true" outlineLevel="0" collapsed="false">
      <c r="A12" s="51" t="s">
        <v>236</v>
      </c>
      <c r="B12" s="57" t="n">
        <v>0</v>
      </c>
      <c r="C12" s="43" t="n">
        <f aca="false">'Balance Sheet'!C29-'Balance Sheet'!B29</f>
        <v>-182.998923076923</v>
      </c>
      <c r="D12" s="43" t="n">
        <f aca="false">'Balance Sheet'!D29-'Balance Sheet'!C29</f>
        <v>114.568692307692</v>
      </c>
      <c r="E12" s="43" t="n">
        <f aca="false">'Balance Sheet'!E29-'Balance Sheet'!D29</f>
        <v>-374.049538461538</v>
      </c>
      <c r="F12" s="32" t="n">
        <f aca="false">SUM(B12:E12)</f>
        <v>-442.479769230769</v>
      </c>
      <c r="G12" s="43" t="n">
        <f aca="false">'Balance Sheet'!G29-'Balance Sheet'!F29</f>
        <v>394.471</v>
      </c>
      <c r="H12" s="45" t="n">
        <f aca="false">'Balance Sheet'!H29-'Balance Sheet'!G29</f>
        <v>43.0755313794653</v>
      </c>
      <c r="I12" s="45" t="n">
        <f aca="false">'Balance Sheet'!I29-'Balance Sheet'!H29</f>
        <v>75.1059274165016</v>
      </c>
      <c r="J12" s="45" t="n">
        <f aca="false">'Balance Sheet'!J29-'Balance Sheet'!I29</f>
        <v>13.2231915879099</v>
      </c>
      <c r="K12" s="32" t="n">
        <f aca="false">SUM(G12:J12)</f>
        <v>525.875650383877</v>
      </c>
      <c r="L12" s="45" t="n">
        <f aca="false">'Balance Sheet'!L29-'Balance Sheet'!K29</f>
        <v>233.138542846893</v>
      </c>
      <c r="M12" s="45" t="n">
        <f aca="false">'Balance Sheet'!M29-'Balance Sheet'!L29</f>
        <v>-216.016739340947</v>
      </c>
      <c r="N12" s="45" t="n">
        <f aca="false">'Balance Sheet'!N29-'Balance Sheet'!M29</f>
        <v>86.9616886130589</v>
      </c>
      <c r="O12" s="45" t="n">
        <f aca="false">'Balance Sheet'!O29-'Balance Sheet'!N29</f>
        <v>18.2972852520606</v>
      </c>
      <c r="P12" s="32" t="n">
        <f aca="false">SUM(L12:O12)</f>
        <v>122.380777371065</v>
      </c>
      <c r="Q12" s="45" t="n">
        <f aca="false">'Balance Sheet'!Q29-'Balance Sheet'!P29</f>
        <v>241.926100934289</v>
      </c>
      <c r="R12" s="45" t="n">
        <f aca="false">'Balance Sheet'!R29-'Balance Sheet'!Q29</f>
        <v>-233.298078488223</v>
      </c>
      <c r="S12" s="45" t="n">
        <f aca="false">'Balance Sheet'!S29-'Balance Sheet'!R29</f>
        <v>93.9186237021038</v>
      </c>
      <c r="T12" s="45" t="n">
        <f aca="false">'Balance Sheet'!T29-'Balance Sheet'!S29</f>
        <v>19.7610680722253</v>
      </c>
      <c r="U12" s="32" t="n">
        <f aca="false">SUM(Q12:T12)</f>
        <v>122.307714220395</v>
      </c>
    </row>
    <row r="13" customFormat="false" ht="15" hidden="false" customHeight="true" outlineLevel="0" collapsed="false">
      <c r="A13" s="51" t="s">
        <v>237</v>
      </c>
      <c r="B13" s="57" t="n">
        <v>0</v>
      </c>
      <c r="C13" s="43" t="n">
        <f aca="false">'Balance Sheet'!C30-'Balance Sheet'!B30</f>
        <v>0</v>
      </c>
      <c r="D13" s="43" t="n">
        <f aca="false">'Balance Sheet'!D30-'Balance Sheet'!C30</f>
        <v>0</v>
      </c>
      <c r="E13" s="43" t="n">
        <f aca="false">'Balance Sheet'!E30-'Balance Sheet'!D30</f>
        <v>0</v>
      </c>
      <c r="F13" s="32" t="n">
        <f aca="false">SUM(B13:E13)</f>
        <v>0</v>
      </c>
      <c r="G13" s="43" t="n">
        <f aca="false">'Balance Sheet'!G30-'Balance Sheet'!F30</f>
        <v>726.195</v>
      </c>
      <c r="H13" s="45" t="n">
        <f aca="false">'Balance Sheet'!H30-'Balance Sheet'!G30</f>
        <v>-533.932568687618</v>
      </c>
      <c r="I13" s="45" t="n">
        <f aca="false">'Balance Sheet'!I30-'Balance Sheet'!H30</f>
        <v>214.944813629922</v>
      </c>
      <c r="J13" s="45" t="n">
        <f aca="false">'Balance Sheet'!J30-'Balance Sheet'!I30</f>
        <v>45.2257382666217</v>
      </c>
      <c r="K13" s="32" t="n">
        <f aca="false">SUM(G13:J13)</f>
        <v>452.432983208925</v>
      </c>
      <c r="L13" s="45" t="n">
        <f aca="false">'Balance Sheet'!L30-'Balance Sheet'!K30</f>
        <v>597.973216791075</v>
      </c>
      <c r="M13" s="45" t="n">
        <f aca="false">'Balance Sheet'!M30-'Balance Sheet'!L30</f>
        <v>-576.647174182628</v>
      </c>
      <c r="N13" s="45" t="n">
        <f aca="false">'Balance Sheet'!N30-'Balance Sheet'!M30</f>
        <v>232.140398720316</v>
      </c>
      <c r="O13" s="45" t="n">
        <f aca="false">'Balance Sheet'!O30-'Balance Sheet'!N30</f>
        <v>48.8437973279511</v>
      </c>
      <c r="P13" s="32" t="n">
        <f aca="false">SUM(L13:O13)</f>
        <v>302.310238656714</v>
      </c>
      <c r="Q13" s="45" t="n">
        <f aca="false">'Balance Sheet'!Q30-'Balance Sheet'!P30</f>
        <v>645.81107413436</v>
      </c>
      <c r="R13" s="45" t="n">
        <f aca="false">'Balance Sheet'!R30-'Balance Sheet'!Q30</f>
        <v>-622.778948117238</v>
      </c>
      <c r="S13" s="45" t="n">
        <f aca="false">'Balance Sheet'!S30-'Balance Sheet'!R30</f>
        <v>250.711630617941</v>
      </c>
      <c r="T13" s="45" t="n">
        <f aca="false">'Balance Sheet'!T30-'Balance Sheet'!S30</f>
        <v>52.7513011141882</v>
      </c>
      <c r="U13" s="32" t="n">
        <f aca="false">SUM(Q13:T13)</f>
        <v>326.495057749252</v>
      </c>
    </row>
    <row r="14" customFormat="false" ht="15" hidden="false" customHeight="true" outlineLevel="0" collapsed="false">
      <c r="A14" s="51" t="s">
        <v>238</v>
      </c>
      <c r="B14" s="57" t="n">
        <v>0</v>
      </c>
      <c r="C14" s="43" t="n">
        <f aca="false">'Balance Sheet'!B21-'Balance Sheet'!C21</f>
        <v>0</v>
      </c>
      <c r="D14" s="43" t="n">
        <f aca="false">'Balance Sheet'!C21-'Balance Sheet'!D21</f>
        <v>0</v>
      </c>
      <c r="E14" s="43" t="n">
        <f aca="false">'Balance Sheet'!D21-'Balance Sheet'!E21</f>
        <v>0</v>
      </c>
      <c r="F14" s="32" t="n">
        <f aca="false">SUM(B14:E14)</f>
        <v>0</v>
      </c>
      <c r="G14" s="43" t="n">
        <f aca="false">'Balance Sheet'!F21-'Balance Sheet'!G21</f>
        <v>67.0839999999998</v>
      </c>
      <c r="H14" s="45" t="n">
        <f aca="false">'Balance Sheet'!G21-'Balance Sheet'!H21</f>
        <v>279.895314846035</v>
      </c>
      <c r="I14" s="45" t="n">
        <f aca="false">'Balance Sheet'!H21-'Balance Sheet'!I21</f>
        <v>315.59763987418</v>
      </c>
      <c r="J14" s="45" t="n">
        <f aca="false">'Balance Sheet'!I21-'Balance Sheet'!J21</f>
        <v>333.169944800496</v>
      </c>
      <c r="K14" s="32" t="n">
        <f aca="false">SUM(G14:J14)</f>
        <v>995.746899520711</v>
      </c>
      <c r="L14" s="45" t="n">
        <f aca="false">'Balance Sheet'!K21-'Balance Sheet'!L21</f>
        <v>338.132811264</v>
      </c>
      <c r="M14" s="45" t="n">
        <f aca="false">'Balance Sheet'!L21-'Balance Sheet'!M21</f>
        <v>298.998940033718</v>
      </c>
      <c r="N14" s="45" t="n">
        <f aca="false">'Balance Sheet'!M21-'Balance Sheet'!N21</f>
        <v>314.75303175149</v>
      </c>
      <c r="O14" s="45" t="n">
        <f aca="false">'Balance Sheet'!N21-'Balance Sheet'!O21</f>
        <v>318.067791557153</v>
      </c>
      <c r="P14" s="32" t="n">
        <f aca="false">SUM(L14:O14)</f>
        <v>1269.95257460636</v>
      </c>
      <c r="Q14" s="45" t="n">
        <f aca="false">'Balance Sheet'!P21-'Balance Sheet'!Q21</f>
        <v>361.89543616512</v>
      </c>
      <c r="R14" s="45" t="n">
        <f aca="false">'Balance Sheet'!Q21-'Balance Sheet'!R21</f>
        <v>319.630855236415</v>
      </c>
      <c r="S14" s="45" t="n">
        <f aca="false">'Balance Sheet'!R21-'Balance Sheet'!S21</f>
        <v>336.645274291609</v>
      </c>
      <c r="T14" s="45" t="n">
        <f aca="false">'Balance Sheet'!S21-'Balance Sheet'!T21</f>
        <v>340.225214881726</v>
      </c>
      <c r="U14" s="32" t="n">
        <f aca="false">SUM(Q14:T14)</f>
        <v>1358.39678057487</v>
      </c>
      <c r="W14" s="6" t="s">
        <v>239</v>
      </c>
    </row>
    <row r="15" customFormat="false" ht="15" hidden="false" customHeight="true" outlineLevel="0" collapsed="false">
      <c r="A15" s="51" t="s">
        <v>240</v>
      </c>
      <c r="B15" s="57" t="n">
        <v>0</v>
      </c>
      <c r="C15" s="43" t="n">
        <f aca="false">('Balance Sheet'!C33-'Balance Sheet'!B33)+('Balance Sheet'!C34-'Balance Sheet'!B34)+('Balance Sheet'!C35-'Balance Sheet'!B35)+('Balance Sheet'!C36-'Balance Sheet'!B36)-('Balance Sheet'!C10-'Balance Sheet'!B10)-('Balance Sheet'!C11-'Balance Sheet'!B11)-('Balance Sheet'!C12-'Balance Sheet'!B12)-('Balance Sheet'!C14-'Balance Sheet'!B14)</f>
        <v>0</v>
      </c>
      <c r="D15" s="43" t="n">
        <f aca="false">('Balance Sheet'!D33-'Balance Sheet'!C33)+('Balance Sheet'!D34-'Balance Sheet'!C34)+('Balance Sheet'!D35-'Balance Sheet'!C35)+('Balance Sheet'!D36-'Balance Sheet'!C36)-('Balance Sheet'!D10-'Balance Sheet'!C10)-('Balance Sheet'!D11-'Balance Sheet'!C11)-('Balance Sheet'!D12-'Balance Sheet'!C12)-('Balance Sheet'!D14-'Balance Sheet'!C14)</f>
        <v>0</v>
      </c>
      <c r="E15" s="43" t="n">
        <f aca="false">('Balance Sheet'!E33-'Balance Sheet'!D33)+('Balance Sheet'!E34-'Balance Sheet'!D34)+('Balance Sheet'!E35-'Balance Sheet'!D35)+('Balance Sheet'!E36-'Balance Sheet'!D36)-('Balance Sheet'!E10-'Balance Sheet'!D10)-('Balance Sheet'!E11-'Balance Sheet'!D11)-('Balance Sheet'!E12-'Balance Sheet'!D12)-('Balance Sheet'!E14-'Balance Sheet'!D14)</f>
        <v>0</v>
      </c>
      <c r="F15" s="32" t="n">
        <f aca="false">SUM(B15:E15)</f>
        <v>0</v>
      </c>
      <c r="G15" s="43" t="n">
        <f aca="false">('Balance Sheet'!G33-'Balance Sheet'!F33)+('Balance Sheet'!G34-'Balance Sheet'!F34)+('Balance Sheet'!G35-'Balance Sheet'!F35)+('Balance Sheet'!G36-'Balance Sheet'!F36)-('Balance Sheet'!G10-'Balance Sheet'!F10)-('Balance Sheet'!G11-'Balance Sheet'!F11)-('Balance Sheet'!G12-'Balance Sheet'!F12)-('Balance Sheet'!G14-'Balance Sheet'!F14)</f>
        <v>-1.81898940354586E-012</v>
      </c>
      <c r="H15" s="45" t="n">
        <f aca="false">('Balance Sheet'!H33-'Balance Sheet'!G33)+('Balance Sheet'!H34-'Balance Sheet'!G34)+('Balance Sheet'!H35-'Balance Sheet'!G35)+('Balance Sheet'!H36-'Balance Sheet'!G36)-('Balance Sheet'!H10-'Balance Sheet'!G10)-('Balance Sheet'!H11-'Balance Sheet'!G11)-('Balance Sheet'!H12-'Balance Sheet'!G12)-('Balance Sheet'!H14-'Balance Sheet'!G14)</f>
        <v>0</v>
      </c>
      <c r="I15" s="45" t="n">
        <f aca="false">('Balance Sheet'!I33-'Balance Sheet'!H33)+('Balance Sheet'!I34-'Balance Sheet'!H34)+('Balance Sheet'!I35-'Balance Sheet'!H35)+('Balance Sheet'!I36-'Balance Sheet'!H36)-('Balance Sheet'!I10-'Balance Sheet'!H10)-('Balance Sheet'!I11-'Balance Sheet'!H11)-('Balance Sheet'!I12-'Balance Sheet'!H12)-('Balance Sheet'!I14-'Balance Sheet'!H14)</f>
        <v>0</v>
      </c>
      <c r="J15" s="45" t="n">
        <f aca="false">('Balance Sheet'!J33-'Balance Sheet'!I33)+('Balance Sheet'!J34-'Balance Sheet'!I34)+('Balance Sheet'!J35-'Balance Sheet'!I35)+('Balance Sheet'!J36-'Balance Sheet'!I36)-('Balance Sheet'!J10-'Balance Sheet'!I10)-('Balance Sheet'!J11-'Balance Sheet'!I11)-('Balance Sheet'!J12-'Balance Sheet'!I12)-('Balance Sheet'!J14-'Balance Sheet'!I14)</f>
        <v>0</v>
      </c>
      <c r="K15" s="32" t="n">
        <f aca="false">SUM(G15:J15)</f>
        <v>-1.81898940354586E-012</v>
      </c>
      <c r="L15" s="45" t="n">
        <f aca="false">('Balance Sheet'!L33-'Balance Sheet'!K33)+('Balance Sheet'!L34-'Balance Sheet'!K34)+('Balance Sheet'!L35-'Balance Sheet'!K35)+('Balance Sheet'!L36-'Balance Sheet'!K36)-('Balance Sheet'!L10-'Balance Sheet'!K10)-('Balance Sheet'!L11-'Balance Sheet'!K11)-('Balance Sheet'!L12-'Balance Sheet'!K12)-('Balance Sheet'!L14-'Balance Sheet'!K14)</f>
        <v>0</v>
      </c>
      <c r="M15" s="45" t="n">
        <f aca="false">('Balance Sheet'!M33-'Balance Sheet'!L33)+('Balance Sheet'!M34-'Balance Sheet'!L34)+('Balance Sheet'!M35-'Balance Sheet'!L35)+('Balance Sheet'!M36-'Balance Sheet'!L36)-('Balance Sheet'!M10-'Balance Sheet'!L10)-('Balance Sheet'!M11-'Balance Sheet'!L11)-('Balance Sheet'!M12-'Balance Sheet'!L12)-('Balance Sheet'!M14-'Balance Sheet'!L14)</f>
        <v>0</v>
      </c>
      <c r="N15" s="45" t="n">
        <f aca="false">('Balance Sheet'!N33-'Balance Sheet'!M33)+('Balance Sheet'!N34-'Balance Sheet'!M34)+('Balance Sheet'!N35-'Balance Sheet'!M35)+('Balance Sheet'!N36-'Balance Sheet'!M36)-('Balance Sheet'!N10-'Balance Sheet'!M10)-('Balance Sheet'!N11-'Balance Sheet'!M11)-('Balance Sheet'!N12-'Balance Sheet'!M12)-('Balance Sheet'!N14-'Balance Sheet'!M14)</f>
        <v>0</v>
      </c>
      <c r="O15" s="45" t="n">
        <f aca="false">('Balance Sheet'!O33-'Balance Sheet'!N33)+('Balance Sheet'!O34-'Balance Sheet'!N34)+('Balance Sheet'!O35-'Balance Sheet'!N35)+('Balance Sheet'!O36-'Balance Sheet'!N36)-('Balance Sheet'!O10-'Balance Sheet'!N10)-('Balance Sheet'!O11-'Balance Sheet'!N11)-('Balance Sheet'!O12-'Balance Sheet'!N12)-('Balance Sheet'!O14-'Balance Sheet'!N14)</f>
        <v>0</v>
      </c>
      <c r="P15" s="32" t="n">
        <f aca="false">SUM(L15:O15)</f>
        <v>0</v>
      </c>
      <c r="Q15" s="45" t="n">
        <f aca="false">('Balance Sheet'!Q33-'Balance Sheet'!P33)+('Balance Sheet'!Q34-'Balance Sheet'!P34)+('Balance Sheet'!Q35-'Balance Sheet'!P35)+('Balance Sheet'!Q36-'Balance Sheet'!P36)-('Balance Sheet'!Q10-'Balance Sheet'!P10)-('Balance Sheet'!Q11-'Balance Sheet'!P11)-('Balance Sheet'!Q12-'Balance Sheet'!P12)-('Balance Sheet'!Q14-'Balance Sheet'!P14)</f>
        <v>0</v>
      </c>
      <c r="R15" s="45" t="n">
        <f aca="false">('Balance Sheet'!R33-'Balance Sheet'!Q33)+('Balance Sheet'!R34-'Balance Sheet'!Q34)+('Balance Sheet'!R35-'Balance Sheet'!Q35)+('Balance Sheet'!R36-'Balance Sheet'!Q36)-('Balance Sheet'!R10-'Balance Sheet'!Q10)-('Balance Sheet'!R11-'Balance Sheet'!Q11)-('Balance Sheet'!R12-'Balance Sheet'!Q12)-('Balance Sheet'!R14-'Balance Sheet'!Q14)</f>
        <v>0</v>
      </c>
      <c r="S15" s="45" t="n">
        <f aca="false">('Balance Sheet'!S33-'Balance Sheet'!R33)+('Balance Sheet'!S34-'Balance Sheet'!R34)+('Balance Sheet'!S35-'Balance Sheet'!R35)+('Balance Sheet'!S36-'Balance Sheet'!R36)-('Balance Sheet'!S10-'Balance Sheet'!R10)-('Balance Sheet'!S11-'Balance Sheet'!R11)-('Balance Sheet'!S12-'Balance Sheet'!R12)-('Balance Sheet'!S14-'Balance Sheet'!R14)</f>
        <v>0</v>
      </c>
      <c r="T15" s="45" t="n">
        <f aca="false">('Balance Sheet'!T33-'Balance Sheet'!S33)+('Balance Sheet'!T34-'Balance Sheet'!S34)+('Balance Sheet'!T35-'Balance Sheet'!S35)+('Balance Sheet'!T36-'Balance Sheet'!S36)-('Balance Sheet'!T10-'Balance Sheet'!S10)-('Balance Sheet'!T11-'Balance Sheet'!S11)-('Balance Sheet'!T12-'Balance Sheet'!S12)-('Balance Sheet'!T14-'Balance Sheet'!S14)</f>
        <v>0</v>
      </c>
      <c r="U15" s="32" t="n">
        <f aca="false">SUM(Q15:T15)</f>
        <v>0</v>
      </c>
      <c r="W15" s="6" t="s">
        <v>241</v>
      </c>
    </row>
    <row r="16" customFormat="false" ht="15" hidden="false" customHeight="true" outlineLevel="0" collapsed="false">
      <c r="A16" s="51" t="s">
        <v>242</v>
      </c>
      <c r="B16" s="57" t="n">
        <v>0</v>
      </c>
      <c r="C16" s="43" t="n">
        <f aca="false">('Balance Sheet'!B13-'Balance Sheet'!C13)+('Balance Sheet'!B15-'Balance Sheet'!C15)</f>
        <v>0</v>
      </c>
      <c r="D16" s="43" t="n">
        <f aca="false">('Balance Sheet'!C13-'Balance Sheet'!D13)+('Balance Sheet'!C15-'Balance Sheet'!D15)</f>
        <v>0</v>
      </c>
      <c r="E16" s="43" t="n">
        <f aca="false">('Balance Sheet'!D13-'Balance Sheet'!E13)+('Balance Sheet'!D15-'Balance Sheet'!E15)</f>
        <v>0</v>
      </c>
      <c r="F16" s="32" t="n">
        <f aca="false">SUM(B16:E16)</f>
        <v>0</v>
      </c>
      <c r="G16" s="43" t="n">
        <f aca="false">('Balance Sheet'!F13-'Balance Sheet'!G13)+('Balance Sheet'!F15-'Balance Sheet'!G15)</f>
        <v>-475.506</v>
      </c>
      <c r="H16" s="45" t="n">
        <f aca="false">('Balance Sheet'!G13-'Balance Sheet'!H13)+('Balance Sheet'!G15-'Balance Sheet'!H15)</f>
        <v>0</v>
      </c>
      <c r="I16" s="45" t="n">
        <f aca="false">('Balance Sheet'!H13-'Balance Sheet'!I13)+('Balance Sheet'!H15-'Balance Sheet'!I15)</f>
        <v>0</v>
      </c>
      <c r="J16" s="45" t="n">
        <f aca="false">('Balance Sheet'!I13-'Balance Sheet'!J13)+('Balance Sheet'!I15-'Balance Sheet'!J15)</f>
        <v>0</v>
      </c>
      <c r="K16" s="32" t="n">
        <f aca="false">SUM(G16:J16)</f>
        <v>-475.506</v>
      </c>
      <c r="L16" s="45" t="n">
        <f aca="false">('Balance Sheet'!K13-'Balance Sheet'!L13)+('Balance Sheet'!K15-'Balance Sheet'!L15)</f>
        <v>0</v>
      </c>
      <c r="M16" s="45" t="n">
        <f aca="false">('Balance Sheet'!L13-'Balance Sheet'!M13)+('Balance Sheet'!L15-'Balance Sheet'!M15)</f>
        <v>0</v>
      </c>
      <c r="N16" s="45" t="n">
        <f aca="false">('Balance Sheet'!M13-'Balance Sheet'!N13)+('Balance Sheet'!M15-'Balance Sheet'!N15)</f>
        <v>0</v>
      </c>
      <c r="O16" s="45" t="n">
        <f aca="false">('Balance Sheet'!N13-'Balance Sheet'!O13)+('Balance Sheet'!N15-'Balance Sheet'!O15)</f>
        <v>0</v>
      </c>
      <c r="P16" s="32" t="n">
        <f aca="false">SUM(L16:O16)</f>
        <v>0</v>
      </c>
      <c r="Q16" s="45" t="n">
        <f aca="false">('Balance Sheet'!P13-'Balance Sheet'!Q13)+('Balance Sheet'!P15-'Balance Sheet'!Q15)</f>
        <v>0</v>
      </c>
      <c r="R16" s="45" t="n">
        <f aca="false">('Balance Sheet'!Q13-'Balance Sheet'!R13)+('Balance Sheet'!Q15-'Balance Sheet'!R15)</f>
        <v>0</v>
      </c>
      <c r="S16" s="45" t="n">
        <f aca="false">('Balance Sheet'!R13-'Balance Sheet'!S13)+('Balance Sheet'!R15-'Balance Sheet'!S15)</f>
        <v>0</v>
      </c>
      <c r="T16" s="45" t="n">
        <f aca="false">('Balance Sheet'!S13-'Balance Sheet'!T13)+('Balance Sheet'!S15-'Balance Sheet'!T15)</f>
        <v>0</v>
      </c>
      <c r="U16" s="32" t="n">
        <f aca="false">SUM(Q16:T16)</f>
        <v>0</v>
      </c>
      <c r="W16" s="1" t="s">
        <v>243</v>
      </c>
    </row>
    <row r="17" customFormat="false" ht="15" hidden="false" customHeight="true" outlineLevel="0" collapsed="false">
      <c r="A17" s="12" t="s">
        <v>244</v>
      </c>
      <c r="B17" s="48" t="n">
        <f aca="false">SUM(B7:B16)</f>
        <v>670.861999999999</v>
      </c>
      <c r="C17" s="48" t="n">
        <f aca="false">SUM(C7:C16)</f>
        <v>776.822</v>
      </c>
      <c r="D17" s="48" t="n">
        <f aca="false">SUM(D7:D16)</f>
        <v>292.408593406594</v>
      </c>
      <c r="E17" s="48" t="n">
        <f aca="false">SUM(E7:E16)</f>
        <v>-2057.22020879121</v>
      </c>
      <c r="F17" s="49" t="n">
        <f aca="false">SUM(B17:E17)</f>
        <v>-317.127615384616</v>
      </c>
      <c r="G17" s="48" t="n">
        <f aca="false">SUM(G7:G16)</f>
        <v>1314.374</v>
      </c>
      <c r="H17" s="48" t="n">
        <f aca="false">SUM(H7:H16)</f>
        <v>1774.92155994937</v>
      </c>
      <c r="I17" s="48" t="n">
        <f aca="false">SUM(I7:I16)</f>
        <v>1623.10913843862</v>
      </c>
      <c r="J17" s="48" t="n">
        <f aca="false">SUM(J7:J16)</f>
        <v>1679.57219327514</v>
      </c>
      <c r="K17" s="49" t="n">
        <f aca="false">SUM(G17:J17)</f>
        <v>6391.97689166313</v>
      </c>
      <c r="L17" s="48" t="n">
        <f aca="false">SUM(L7:L16)</f>
        <v>1833.75813084324</v>
      </c>
      <c r="M17" s="48" t="n">
        <f aca="false">SUM(M7:M16)</f>
        <v>1533.66429766839</v>
      </c>
      <c r="N17" s="48" t="n">
        <f aca="false">SUM(N7:N16)</f>
        <v>1671.83042547487</v>
      </c>
      <c r="O17" s="48" t="n">
        <f aca="false">SUM(O7:O16)</f>
        <v>1678.76837764966</v>
      </c>
      <c r="P17" s="49" t="n">
        <f aca="false">SUM(L17:O17)</f>
        <v>6718.02123163616</v>
      </c>
      <c r="Q17" s="48" t="n">
        <f aca="false">SUM(Q7:Q16)</f>
        <v>1959.63525597035</v>
      </c>
      <c r="R17" s="48" t="n">
        <f aca="false">SUM(R7:R16)</f>
        <v>1645.39744148186</v>
      </c>
      <c r="S17" s="48" t="n">
        <f aca="false">SUM(S7:S16)</f>
        <v>1794.61685951286</v>
      </c>
      <c r="T17" s="48" t="n">
        <f aca="false">SUM(T7:T16)</f>
        <v>1802.10984786163</v>
      </c>
      <c r="U17" s="49" t="n">
        <f aca="false">SUM(Q17:T17)</f>
        <v>7201.7594048267</v>
      </c>
      <c r="W17" s="6" t="s">
        <v>245</v>
      </c>
    </row>
    <row r="19" customFormat="false" ht="15" hidden="false" customHeight="true" outlineLevel="0" collapsed="false">
      <c r="A19" s="10" t="s">
        <v>246</v>
      </c>
      <c r="B19" s="11"/>
      <c r="C19" s="11"/>
      <c r="D19" s="11"/>
      <c r="E19" s="11"/>
      <c r="F19" s="11"/>
      <c r="G19" s="11"/>
      <c r="H19" s="11"/>
      <c r="I19" s="11"/>
      <c r="J19" s="11"/>
      <c r="K19" s="11"/>
      <c r="L19" s="11"/>
      <c r="M19" s="11"/>
      <c r="N19" s="11"/>
      <c r="O19" s="11"/>
      <c r="P19" s="11"/>
      <c r="Q19" s="11"/>
      <c r="R19" s="11"/>
      <c r="S19" s="11"/>
      <c r="T19" s="11"/>
      <c r="U19" s="11"/>
    </row>
    <row r="20" customFormat="false" ht="15" hidden="false" customHeight="true" outlineLevel="0" collapsed="false">
      <c r="A20" s="51" t="s">
        <v>247</v>
      </c>
      <c r="B20" s="31" t="n">
        <v>-313.254</v>
      </c>
      <c r="C20" s="57" t="n">
        <v>-313.254</v>
      </c>
      <c r="D20" s="57" t="n">
        <v>-313.254</v>
      </c>
      <c r="E20" s="57" t="n">
        <v>-313.254</v>
      </c>
      <c r="F20" s="32" t="n">
        <f aca="false">SUM(B20:E20)</f>
        <v>-1253.016</v>
      </c>
      <c r="G20" s="31" t="n">
        <v>-613.604</v>
      </c>
      <c r="H20" s="45" t="n">
        <f aca="false">-'Income Statement'!H6*Assumptions!H24</f>
        <v>-442.213546011175</v>
      </c>
      <c r="I20" s="45" t="n">
        <f aca="false">-'Income Statement'!I6*Assumptions!I24</f>
        <v>-469.226734827657</v>
      </c>
      <c r="J20" s="45" t="n">
        <f aca="false">-'Income Statement'!J6*Assumptions!J24</f>
        <v>-474.9104793504</v>
      </c>
      <c r="K20" s="32" t="n">
        <f aca="false">SUM(G20:J20)</f>
        <v>-1999.95476018923</v>
      </c>
      <c r="L20" s="45" t="n">
        <f aca="false">-'Income Statement'!L6*Assumptions!L24</f>
        <v>-550.0607616</v>
      </c>
      <c r="M20" s="45" t="n">
        <f aca="false">-'Income Statement'!M6*Assumptions!M24</f>
        <v>-477.59062969207</v>
      </c>
      <c r="N20" s="45" t="n">
        <f aca="false">-'Income Statement'!N6*Assumptions!N24</f>
        <v>-506.76487361387</v>
      </c>
      <c r="O20" s="45" t="n">
        <f aca="false">-'Income Statement'!O6*Assumptions!O24</f>
        <v>-512.903317698432</v>
      </c>
      <c r="P20" s="32" t="n">
        <f aca="false">SUM(L20:O20)</f>
        <v>-2047.31958260437</v>
      </c>
      <c r="Q20" s="45" t="n">
        <f aca="false">-'Income Statement'!Q6*Assumptions!Q24</f>
        <v>-594.065622528</v>
      </c>
      <c r="R20" s="45" t="n">
        <f aca="false">-'Income Statement'!R6*Assumptions!R24</f>
        <v>-515.797880067435</v>
      </c>
      <c r="S20" s="45" t="n">
        <f aca="false">-'Income Statement'!S6*Assumptions!S24</f>
        <v>-547.306063502979</v>
      </c>
      <c r="T20" s="45" t="n">
        <f aca="false">-'Income Statement'!T6*Assumptions!T24</f>
        <v>-553.935583114307</v>
      </c>
      <c r="U20" s="32" t="n">
        <f aca="false">SUM(Q20:T20)</f>
        <v>-2211.10514921272</v>
      </c>
      <c r="W20" s="6" t="s">
        <v>248</v>
      </c>
    </row>
    <row r="21" customFormat="false" ht="15" hidden="false" customHeight="true" outlineLevel="0" collapsed="false">
      <c r="A21" s="37" t="s">
        <v>249</v>
      </c>
      <c r="B21" s="40" t="n">
        <f aca="false">B30+B29</f>
        <v>7481.373</v>
      </c>
      <c r="C21" s="40" t="n">
        <f aca="false">C30+C29</f>
        <v>7657.08075</v>
      </c>
      <c r="D21" s="40" t="n">
        <f aca="false">D30+D29</f>
        <v>7206.18009340659</v>
      </c>
      <c r="E21" s="40" t="n">
        <f aca="false">E30+E29</f>
        <v>4789.19204120879</v>
      </c>
      <c r="F21" s="58" t="n">
        <f aca="false">E21</f>
        <v>4789.19204120879</v>
      </c>
      <c r="G21" s="40" t="n">
        <f aca="false">G30+G29</f>
        <v>7877.054</v>
      </c>
      <c r="H21" s="40" t="n">
        <f aca="false">H30+H29</f>
        <v>8874.10321393819</v>
      </c>
      <c r="I21" s="40" t="n">
        <f aca="false">I30+I29</f>
        <v>9843.05580754916</v>
      </c>
      <c r="J21" s="40" t="n">
        <f aca="false">J30+J29</f>
        <v>10865.1342019739</v>
      </c>
      <c r="K21" s="58" t="n">
        <f aca="false">J21</f>
        <v>10865.1342019739</v>
      </c>
      <c r="L21" s="40" t="n">
        <f aca="false">L30+L29</f>
        <v>11968.4774176921</v>
      </c>
      <c r="M21" s="40" t="n">
        <f aca="false">M30+M29</f>
        <v>12846.3146398197</v>
      </c>
      <c r="N21" s="40" t="n">
        <f aca="false">N30+N29</f>
        <v>13835.1555681244</v>
      </c>
      <c r="O21" s="40" t="n">
        <f aca="false">O30+O29</f>
        <v>14826.7072356971</v>
      </c>
      <c r="P21" s="58" t="n">
        <f aca="false">O21</f>
        <v>14826.7072356971</v>
      </c>
      <c r="Q21" s="40" t="n">
        <f aca="false">Q30+Q29</f>
        <v>16019.7791463799</v>
      </c>
      <c r="R21" s="40" t="n">
        <f aca="false">R30+R29</f>
        <v>16978.6058711727</v>
      </c>
      <c r="S21" s="40" t="n">
        <f aca="false">S30+S29</f>
        <v>18056.7824723921</v>
      </c>
      <c r="T21" s="40" t="n">
        <f aca="false">T30+T29</f>
        <v>19137.3792520884</v>
      </c>
      <c r="U21" s="58" t="n">
        <f aca="false">T21</f>
        <v>19137.3792520884</v>
      </c>
    </row>
    <row r="23" customFormat="false" ht="15" hidden="false" customHeight="true" outlineLevel="0" collapsed="false">
      <c r="A23" s="10" t="s">
        <v>250</v>
      </c>
      <c r="B23" s="11"/>
      <c r="C23" s="11"/>
      <c r="D23" s="11"/>
      <c r="E23" s="11"/>
      <c r="F23" s="11"/>
      <c r="G23" s="11"/>
      <c r="H23" s="11"/>
      <c r="I23" s="11"/>
      <c r="J23" s="11"/>
      <c r="K23" s="11"/>
      <c r="L23" s="11"/>
      <c r="M23" s="11"/>
      <c r="N23" s="11"/>
      <c r="O23" s="11"/>
      <c r="P23" s="11"/>
      <c r="Q23" s="11"/>
      <c r="R23" s="11"/>
      <c r="S23" s="11"/>
      <c r="T23" s="11"/>
      <c r="U23" s="11"/>
    </row>
    <row r="24" customFormat="false" ht="15" hidden="false" customHeight="true" outlineLevel="0" collapsed="false">
      <c r="A24" s="51" t="s">
        <v>251</v>
      </c>
      <c r="B24" s="31" t="n">
        <v>-351.64</v>
      </c>
      <c r="C24" s="31" t="n">
        <v>-300</v>
      </c>
      <c r="D24" s="31" t="n">
        <v>-250</v>
      </c>
      <c r="E24" s="31" t="n">
        <v>-300.872</v>
      </c>
      <c r="F24" s="32" t="n">
        <f aca="false">SUM(B24:E24)</f>
        <v>-1202.512</v>
      </c>
      <c r="G24" s="31" t="n">
        <v>-233.459</v>
      </c>
      <c r="H24" s="45" t="n">
        <f aca="false">-Assumptions!H25</f>
        <v>-150</v>
      </c>
      <c r="I24" s="45" t="n">
        <f aca="false">-Assumptions!I25</f>
        <v>-150</v>
      </c>
      <c r="J24" s="45" t="n">
        <f aca="false">-Assumptions!J25</f>
        <v>-150</v>
      </c>
      <c r="K24" s="32" t="n">
        <f aca="false">SUM(G24:J24)</f>
        <v>-683.459</v>
      </c>
      <c r="L24" s="45" t="n">
        <f aca="false">-Assumptions!L25</f>
        <v>-150</v>
      </c>
      <c r="M24" s="45" t="n">
        <f aca="false">-Assumptions!M25</f>
        <v>-150</v>
      </c>
      <c r="N24" s="45" t="n">
        <f aca="false">-Assumptions!N25</f>
        <v>-150</v>
      </c>
      <c r="O24" s="45" t="n">
        <f aca="false">-Assumptions!O25</f>
        <v>-150</v>
      </c>
      <c r="P24" s="32" t="n">
        <f aca="false">SUM(L24:O24)</f>
        <v>-600</v>
      </c>
      <c r="Q24" s="45" t="n">
        <f aca="false">-Assumptions!Q25</f>
        <v>-150</v>
      </c>
      <c r="R24" s="45" t="n">
        <f aca="false">-Assumptions!R25</f>
        <v>-150</v>
      </c>
      <c r="S24" s="45" t="n">
        <f aca="false">-Assumptions!S25</f>
        <v>-150</v>
      </c>
      <c r="T24" s="45" t="n">
        <f aca="false">-Assumptions!T25</f>
        <v>-150</v>
      </c>
      <c r="U24" s="32" t="n">
        <f aca="false">SUM(Q24:T24)</f>
        <v>-600</v>
      </c>
      <c r="W24" s="6" t="s">
        <v>252</v>
      </c>
    </row>
    <row r="25" customFormat="false" ht="15" hidden="false" customHeight="true" outlineLevel="0" collapsed="false">
      <c r="A25" s="51" t="s">
        <v>253</v>
      </c>
      <c r="B25" s="31" t="n">
        <v>-36.11</v>
      </c>
      <c r="C25" s="43" t="n">
        <f aca="false">('Balance Sheet'!C32-'Balance Sheet'!B32)+('Balance Sheet'!C40-'Balance Sheet'!B40)</f>
        <v>0</v>
      </c>
      <c r="D25" s="43" t="n">
        <f aca="false">('Balance Sheet'!D32-'Balance Sheet'!C32)+('Balance Sheet'!D40-'Balance Sheet'!C40)</f>
        <v>0</v>
      </c>
      <c r="E25" s="43" t="n">
        <f aca="false">('Balance Sheet'!E32-'Balance Sheet'!D32)+('Balance Sheet'!E40-'Balance Sheet'!D40)</f>
        <v>0</v>
      </c>
      <c r="F25" s="32" t="n">
        <f aca="false">SUM(B25:E25)</f>
        <v>-36.11</v>
      </c>
      <c r="G25" s="43" t="n">
        <f aca="false">('Balance Sheet'!G32-'Balance Sheet'!F32)+('Balance Sheet'!G40-'Balance Sheet'!F40)</f>
        <v>-38.4880000000001</v>
      </c>
      <c r="H25" s="45" t="n">
        <f aca="false">('Balance Sheet'!H32-'Balance Sheet'!G32)+('Balance Sheet'!H40-'Balance Sheet'!G40)</f>
        <v>-49.3998</v>
      </c>
      <c r="I25" s="45" t="n">
        <f aca="false">('Balance Sheet'!I32-'Balance Sheet'!H32)+('Balance Sheet'!I40-'Balance Sheet'!H40)</f>
        <v>-46.9298100000001</v>
      </c>
      <c r="J25" s="45" t="n">
        <f aca="false">('Balance Sheet'!J32-'Balance Sheet'!I32)+('Balance Sheet'!J40-'Balance Sheet'!I40)</f>
        <v>-44.5833195</v>
      </c>
      <c r="K25" s="32" t="n">
        <f aca="false">SUM(G25:J25)</f>
        <v>-179.4009295</v>
      </c>
      <c r="L25" s="45" t="n">
        <f aca="false">('Balance Sheet'!L32-'Balance Sheet'!K32)+('Balance Sheet'!L40-'Balance Sheet'!K40)</f>
        <v>-42.354153525</v>
      </c>
      <c r="M25" s="45" t="n">
        <f aca="false">('Balance Sheet'!M32-'Balance Sheet'!L32)+('Balance Sheet'!M40-'Balance Sheet'!L40)</f>
        <v>-40.23644584875</v>
      </c>
      <c r="N25" s="45" t="n">
        <f aca="false">('Balance Sheet'!N32-'Balance Sheet'!M32)+('Balance Sheet'!N40-'Balance Sheet'!M40)</f>
        <v>-38.2246235563125</v>
      </c>
      <c r="O25" s="45" t="n">
        <f aca="false">('Balance Sheet'!O32-'Balance Sheet'!N32)+('Balance Sheet'!O40-'Balance Sheet'!N40)</f>
        <v>-36.3133923784969</v>
      </c>
      <c r="P25" s="32" t="n">
        <f aca="false">SUM(L25:O25)</f>
        <v>-157.128615308559</v>
      </c>
      <c r="Q25" s="45" t="n">
        <f aca="false">('Balance Sheet'!Q32-'Balance Sheet'!P32)+('Balance Sheet'!Q40-'Balance Sheet'!P40)</f>
        <v>-34.4977227595721</v>
      </c>
      <c r="R25" s="45" t="n">
        <f aca="false">('Balance Sheet'!R32-'Balance Sheet'!Q32)+('Balance Sheet'!R40-'Balance Sheet'!Q40)</f>
        <v>-32.7728366215935</v>
      </c>
      <c r="S25" s="45" t="n">
        <f aca="false">('Balance Sheet'!S32-'Balance Sheet'!R32)+('Balance Sheet'!S40-'Balance Sheet'!R40)</f>
        <v>-31.1341947905138</v>
      </c>
      <c r="T25" s="45" t="n">
        <f aca="false">('Balance Sheet'!T32-'Balance Sheet'!S32)+('Balance Sheet'!T40-'Balance Sheet'!S40)</f>
        <v>-29.5774850509881</v>
      </c>
      <c r="U25" s="32" t="n">
        <f aca="false">SUM(Q25:T25)</f>
        <v>-127.982239222667</v>
      </c>
      <c r="W25" s="6" t="s">
        <v>254</v>
      </c>
    </row>
    <row r="26" customFormat="false" ht="15" hidden="false" customHeight="true" outlineLevel="0" collapsed="false">
      <c r="A26" s="62" t="s">
        <v>255</v>
      </c>
      <c r="B26" s="31" t="n">
        <v>11.515</v>
      </c>
      <c r="C26" s="31" t="n">
        <v>10</v>
      </c>
      <c r="D26" s="31" t="n">
        <v>10</v>
      </c>
      <c r="E26" s="31" t="n">
        <v>10</v>
      </c>
      <c r="F26" s="32" t="n">
        <f aca="false">SUM(B26:E26)</f>
        <v>41.515</v>
      </c>
      <c r="G26" s="31" t="n">
        <v>14.18</v>
      </c>
      <c r="H26" s="63" t="n">
        <v>12</v>
      </c>
      <c r="I26" s="63" t="n">
        <v>12</v>
      </c>
      <c r="J26" s="63" t="n">
        <v>12</v>
      </c>
      <c r="K26" s="32" t="n">
        <f aca="false">SUM(G26:J26)</f>
        <v>50.18</v>
      </c>
      <c r="L26" s="63" t="n">
        <v>12</v>
      </c>
      <c r="M26" s="63" t="n">
        <v>12</v>
      </c>
      <c r="N26" s="63" t="n">
        <v>12</v>
      </c>
      <c r="O26" s="63" t="n">
        <v>12</v>
      </c>
      <c r="P26" s="32" t="n">
        <f aca="false">SUM(L26:O26)</f>
        <v>48</v>
      </c>
      <c r="Q26" s="63" t="n">
        <v>12</v>
      </c>
      <c r="R26" s="63" t="n">
        <v>12</v>
      </c>
      <c r="S26" s="63" t="n">
        <v>12</v>
      </c>
      <c r="T26" s="63" t="n">
        <v>12</v>
      </c>
      <c r="U26" s="32" t="n">
        <f aca="false">SUM(Q26:T26)</f>
        <v>48</v>
      </c>
      <c r="W26" s="6" t="s">
        <v>256</v>
      </c>
    </row>
    <row r="27" customFormat="false" ht="15" hidden="false" customHeight="true" outlineLevel="0" collapsed="false">
      <c r="A27" s="12" t="s">
        <v>257</v>
      </c>
      <c r="B27" s="48" t="n">
        <f aca="false">SUM(B24:B26)</f>
        <v>-376.235</v>
      </c>
      <c r="C27" s="48" t="n">
        <f aca="false">SUM(C24:C26)</f>
        <v>-290</v>
      </c>
      <c r="D27" s="48" t="n">
        <f aca="false">SUM(D24:D26)</f>
        <v>-240</v>
      </c>
      <c r="E27" s="48" t="n">
        <f aca="false">SUM(E24:E26)</f>
        <v>-290.872</v>
      </c>
      <c r="F27" s="49" t="n">
        <f aca="false">SUM(B27:E27)</f>
        <v>-1197.107</v>
      </c>
      <c r="G27" s="48" t="n">
        <f aca="false">SUM(G24:G26)</f>
        <v>-257.767</v>
      </c>
      <c r="H27" s="48" t="n">
        <f aca="false">SUM(H24:H26)</f>
        <v>-187.3998</v>
      </c>
      <c r="I27" s="48" t="n">
        <f aca="false">SUM(I24:I26)</f>
        <v>-184.92981</v>
      </c>
      <c r="J27" s="48" t="n">
        <f aca="false">SUM(J24:J26)</f>
        <v>-182.5833195</v>
      </c>
      <c r="K27" s="49" t="n">
        <f aca="false">SUM(G27:J27)</f>
        <v>-812.6799295</v>
      </c>
      <c r="L27" s="48" t="n">
        <f aca="false">SUM(L24:L26)</f>
        <v>-180.354153525</v>
      </c>
      <c r="M27" s="48" t="n">
        <f aca="false">SUM(M24:M26)</f>
        <v>-178.23644584875</v>
      </c>
      <c r="N27" s="48" t="n">
        <f aca="false">SUM(N24:N26)</f>
        <v>-176.224623556313</v>
      </c>
      <c r="O27" s="48" t="n">
        <f aca="false">SUM(O24:O26)</f>
        <v>-174.313392378497</v>
      </c>
      <c r="P27" s="49" t="n">
        <f aca="false">SUM(L27:O27)</f>
        <v>-709.12861530856</v>
      </c>
      <c r="Q27" s="48" t="n">
        <f aca="false">SUM(Q24:Q26)</f>
        <v>-172.497722759572</v>
      </c>
      <c r="R27" s="48" t="n">
        <f aca="false">SUM(R24:R26)</f>
        <v>-170.772836621593</v>
      </c>
      <c r="S27" s="48" t="n">
        <f aca="false">SUM(S24:S26)</f>
        <v>-169.134194790514</v>
      </c>
      <c r="T27" s="48" t="n">
        <f aca="false">SUM(T24:T26)</f>
        <v>-167.577485050988</v>
      </c>
      <c r="U27" s="49" t="n">
        <f aca="false">SUM(Q27:T27)</f>
        <v>-679.982239222667</v>
      </c>
    </row>
    <row r="29" customFormat="false" ht="15" hidden="false" customHeight="true" outlineLevel="0" collapsed="false">
      <c r="A29" s="37" t="s">
        <v>258</v>
      </c>
      <c r="B29" s="59" t="n">
        <f aca="false">B17+B20+B27</f>
        <v>-18.6270000000008</v>
      </c>
      <c r="C29" s="59" t="n">
        <f aca="false">C17+C20+C27</f>
        <v>173.568</v>
      </c>
      <c r="D29" s="59" t="n">
        <f aca="false">D17+D20+D27</f>
        <v>-260.845406593406</v>
      </c>
      <c r="E29" s="59" t="n">
        <f aca="false">E17+E20+E27</f>
        <v>-2661.34620879121</v>
      </c>
      <c r="F29" s="49" t="n">
        <f aca="false">SUM(B29:E29)</f>
        <v>-2767.25061538462</v>
      </c>
      <c r="G29" s="59" t="n">
        <f aca="false">G17+G20+G27</f>
        <v>443.002999999997</v>
      </c>
      <c r="H29" s="59" t="n">
        <f aca="false">H17+H20+H27</f>
        <v>1145.30821393819</v>
      </c>
      <c r="I29" s="59" t="n">
        <f aca="false">I17+I20+I27</f>
        <v>968.952593610966</v>
      </c>
      <c r="J29" s="59" t="n">
        <f aca="false">J17+J20+J27</f>
        <v>1022.07839442474</v>
      </c>
      <c r="K29" s="49" t="n">
        <f aca="false">SUM(G29:J29)</f>
        <v>3579.34220197389</v>
      </c>
      <c r="L29" s="59" t="n">
        <f aca="false">L17+L20+L27</f>
        <v>1103.34321571824</v>
      </c>
      <c r="M29" s="59" t="n">
        <f aca="false">M17+M20+M27</f>
        <v>877.837222127572</v>
      </c>
      <c r="N29" s="59" t="n">
        <f aca="false">N17+N20+N27</f>
        <v>988.840928304689</v>
      </c>
      <c r="O29" s="59" t="n">
        <f aca="false">O17+O20+O27</f>
        <v>991.551667572729</v>
      </c>
      <c r="P29" s="49" t="n">
        <f aca="false">SUM(L29:O29)</f>
        <v>3961.57303372323</v>
      </c>
      <c r="Q29" s="59" t="n">
        <f aca="false">Q17+Q20+Q27</f>
        <v>1193.07191068278</v>
      </c>
      <c r="R29" s="59" t="n">
        <f aca="false">R17+R20+R27</f>
        <v>958.826724792834</v>
      </c>
      <c r="S29" s="59" t="n">
        <f aca="false">S17+S20+S27</f>
        <v>1078.17660121937</v>
      </c>
      <c r="T29" s="59" t="n">
        <f aca="false">T17+T20+T27</f>
        <v>1080.59677969634</v>
      </c>
      <c r="U29" s="49" t="n">
        <f aca="false">SUM(Q29:T29)</f>
        <v>4310.67201639132</v>
      </c>
    </row>
    <row r="30" customFormat="false" ht="15" hidden="false" customHeight="true" outlineLevel="0" collapsed="false">
      <c r="A30" s="51" t="s">
        <v>259</v>
      </c>
      <c r="B30" s="31" t="n">
        <v>7500</v>
      </c>
      <c r="C30" s="43" t="n">
        <f aca="false">'Balance Sheet'!B8</f>
        <v>7483.51275</v>
      </c>
      <c r="D30" s="43" t="n">
        <f aca="false">'Balance Sheet'!C8</f>
        <v>7467.0255</v>
      </c>
      <c r="E30" s="43" t="n">
        <f aca="false">'Balance Sheet'!D8</f>
        <v>7450.53825</v>
      </c>
      <c r="F30" s="44" t="n">
        <f aca="false">B30</f>
        <v>7500</v>
      </c>
      <c r="G30" s="43" t="n">
        <f aca="false">'Balance Sheet'!F8</f>
        <v>7434.051</v>
      </c>
      <c r="H30" s="45" t="n">
        <f aca="false">'Balance Sheet'!G8</f>
        <v>7728.795</v>
      </c>
      <c r="I30" s="45" t="n">
        <f aca="false">'Balance Sheet'!H8</f>
        <v>8874.10321393819</v>
      </c>
      <c r="J30" s="45" t="n">
        <f aca="false">'Balance Sheet'!I8</f>
        <v>9843.05580754916</v>
      </c>
      <c r="K30" s="44" t="n">
        <f aca="false">G30</f>
        <v>7434.051</v>
      </c>
      <c r="L30" s="45" t="n">
        <f aca="false">'Balance Sheet'!K8</f>
        <v>10865.1342019739</v>
      </c>
      <c r="M30" s="45" t="n">
        <f aca="false">'Balance Sheet'!L8</f>
        <v>11968.4774176921</v>
      </c>
      <c r="N30" s="45" t="n">
        <f aca="false">'Balance Sheet'!M8</f>
        <v>12846.3146398197</v>
      </c>
      <c r="O30" s="45" t="n">
        <f aca="false">'Balance Sheet'!N8</f>
        <v>13835.1555681244</v>
      </c>
      <c r="P30" s="44" t="n">
        <f aca="false">L30</f>
        <v>10865.1342019739</v>
      </c>
      <c r="Q30" s="45" t="n">
        <f aca="false">'Balance Sheet'!P8</f>
        <v>14826.7072356971</v>
      </c>
      <c r="R30" s="45" t="n">
        <f aca="false">'Balance Sheet'!Q8</f>
        <v>16019.7791463799</v>
      </c>
      <c r="S30" s="45" t="n">
        <f aca="false">'Balance Sheet'!R8</f>
        <v>16978.6058711727</v>
      </c>
      <c r="T30" s="45" t="n">
        <f aca="false">'Balance Sheet'!S8</f>
        <v>18056.7824723921</v>
      </c>
      <c r="U30" s="44" t="n">
        <f aca="false">Q30</f>
        <v>14826.7072356971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6"/>
    <col collapsed="false" customWidth="true" hidden="false" outlineLevel="0" max="3" min="3" style="1" width="90"/>
  </cols>
  <sheetData>
    <row r="1" customFormat="false" ht="17.25" hidden="false" customHeight="true" outlineLevel="0" collapsed="false">
      <c r="A1" s="2" t="s">
        <v>260</v>
      </c>
    </row>
    <row r="2" customFormat="false" ht="15" hidden="false" customHeight="true" outlineLevel="0" collapsed="false">
      <c r="A2" s="6" t="s">
        <v>261</v>
      </c>
    </row>
    <row r="4" customFormat="false" ht="15" hidden="false" customHeight="true" outlineLevel="0" collapsed="false">
      <c r="A4" s="64" t="s">
        <v>262</v>
      </c>
      <c r="B4" s="11"/>
      <c r="C4" s="11"/>
      <c r="D4" s="11"/>
      <c r="E4" s="11"/>
    </row>
    <row r="5" customFormat="false" ht="15" hidden="false" customHeight="true" outlineLevel="0" collapsed="false">
      <c r="A5" s="21" t="s">
        <v>263</v>
      </c>
      <c r="B5" s="21" t="s">
        <v>264</v>
      </c>
      <c r="C5" s="21" t="s">
        <v>265</v>
      </c>
    </row>
    <row r="6" customFormat="false" ht="15" hidden="false" customHeight="true" outlineLevel="0" collapsed="false">
      <c r="A6" s="22" t="s">
        <v>266</v>
      </c>
      <c r="B6" s="45" t="n">
        <f aca="false">'Income Statement'!F6</f>
        <v>85390.373</v>
      </c>
      <c r="C6" s="6" t="s">
        <v>267</v>
      </c>
    </row>
    <row r="7" customFormat="false" ht="15" hidden="false" customHeight="true" outlineLevel="0" collapsed="false">
      <c r="A7" s="22" t="s">
        <v>268</v>
      </c>
      <c r="B7" s="62" t="s">
        <v>269</v>
      </c>
      <c r="C7" s="6" t="s">
        <v>270</v>
      </c>
    </row>
    <row r="8" customFormat="false" ht="15" hidden="false" customHeight="true" outlineLevel="0" collapsed="false">
      <c r="A8" s="12" t="s">
        <v>271</v>
      </c>
      <c r="B8" s="14" t="n">
        <v>0.11</v>
      </c>
      <c r="C8" s="6" t="s">
        <v>272</v>
      </c>
    </row>
    <row r="9" customFormat="false" ht="15" hidden="false" customHeight="true" outlineLevel="0" collapsed="false">
      <c r="A9" s="12" t="s">
        <v>273</v>
      </c>
      <c r="B9" s="65" t="n">
        <f aca="false">B6*(1+B8)</f>
        <v>94783.31403</v>
      </c>
      <c r="C9" s="6" t="s">
        <v>274</v>
      </c>
    </row>
    <row r="10" customFormat="false" ht="15" hidden="false" customHeight="true" outlineLevel="0" collapsed="false">
      <c r="A10" s="12" t="s">
        <v>275</v>
      </c>
      <c r="B10" s="43" t="n">
        <f aca="false">'Income Statement'!K6</f>
        <v>94783.3140094616</v>
      </c>
      <c r="C10" s="6" t="s">
        <v>276</v>
      </c>
    </row>
    <row r="11" customFormat="false" ht="15" hidden="false" customHeight="true" outlineLevel="0" collapsed="false">
      <c r="A11" s="12" t="s">
        <v>277</v>
      </c>
      <c r="B11" s="50" t="n">
        <f aca="false">B10-B9</f>
        <v>-2.05383985303342E-005</v>
      </c>
      <c r="C11" s="6" t="s">
        <v>278</v>
      </c>
    </row>
    <row r="12" customFormat="false" ht="15" hidden="false" customHeight="true" outlineLevel="0" collapsed="false">
      <c r="A12" s="22" t="s">
        <v>279</v>
      </c>
      <c r="B12" s="66" t="n">
        <f aca="false">B10/B6-1</f>
        <v>0.109999999759477</v>
      </c>
      <c r="C12" s="6" t="s">
        <v>280</v>
      </c>
    </row>
    <row r="13" customFormat="false" ht="15" hidden="false" customHeight="true" outlineLevel="0" collapsed="false">
      <c r="A13" s="22" t="s">
        <v>281</v>
      </c>
      <c r="B13" s="45" t="n">
        <f aca="false">'Income Statement'!K32</f>
        <v>5128.90491062945</v>
      </c>
      <c r="C13" s="6" t="s">
        <v>282</v>
      </c>
    </row>
    <row r="15" customFormat="false" ht="15" hidden="false" customHeight="true" outlineLevel="0" collapsed="false">
      <c r="A15" s="64" t="s">
        <v>283</v>
      </c>
      <c r="B15" s="11"/>
      <c r="C15" s="11"/>
      <c r="D15" s="11"/>
      <c r="E15" s="11"/>
    </row>
    <row r="16" customFormat="false" ht="15" hidden="false" customHeight="true" outlineLevel="0" collapsed="false">
      <c r="A16" s="21" t="s">
        <v>263</v>
      </c>
      <c r="B16" s="21" t="s">
        <v>264</v>
      </c>
      <c r="C16" s="21" t="s">
        <v>265</v>
      </c>
    </row>
    <row r="17" customFormat="false" ht="15" hidden="false" customHeight="true" outlineLevel="0" collapsed="false">
      <c r="A17" s="62" t="s">
        <v>284</v>
      </c>
      <c r="B17" s="63" t="n">
        <v>93890</v>
      </c>
      <c r="C17" s="6" t="s">
        <v>285</v>
      </c>
    </row>
    <row r="18" customFormat="false" ht="15" hidden="false" customHeight="true" outlineLevel="0" collapsed="false">
      <c r="A18" s="12" t="s">
        <v>286</v>
      </c>
      <c r="B18" s="50" t="n">
        <f aca="false">B10-B17</f>
        <v>893.314009461625</v>
      </c>
      <c r="C18" s="6" t="s">
        <v>287</v>
      </c>
    </row>
    <row r="19" customFormat="false" ht="15" hidden="false" customHeight="true" outlineLevel="0" collapsed="false">
      <c r="A19" s="22" t="s">
        <v>288</v>
      </c>
      <c r="B19" s="67" t="n">
        <f aca="false">B10/B17-1</f>
        <v>0.00951447448569209</v>
      </c>
      <c r="C19" s="6"/>
    </row>
    <row r="20" customFormat="false" ht="15" hidden="false" customHeight="true" outlineLevel="0" collapsed="false">
      <c r="A20" s="62" t="s">
        <v>289</v>
      </c>
      <c r="B20" s="68" t="n">
        <v>-0.04</v>
      </c>
      <c r="C20" s="6" t="s">
        <v>290</v>
      </c>
    </row>
    <row r="21" customFormat="false" ht="15" hidden="false" customHeight="true" outlineLevel="0" collapsed="false">
      <c r="A21" s="12" t="s">
        <v>291</v>
      </c>
      <c r="B21" s="69" t="n">
        <f aca="false">'Income Statement'!K28</f>
        <v>0.0848615292731317</v>
      </c>
      <c r="C21" s="6" t="s">
        <v>292</v>
      </c>
    </row>
    <row r="22" customFormat="false" ht="15" hidden="false" customHeight="true" outlineLevel="0" collapsed="false">
      <c r="A22" s="12" t="s">
        <v>293</v>
      </c>
      <c r="B22" s="55" t="n">
        <f aca="false">B21-B20</f>
        <v>0.124861529273132</v>
      </c>
      <c r="C22" s="6" t="s">
        <v>294</v>
      </c>
    </row>
    <row r="24" customFormat="false" ht="15" hidden="false" customHeight="true" outlineLevel="0" collapsed="false">
      <c r="A24" s="64" t="s">
        <v>295</v>
      </c>
      <c r="B24" s="11"/>
      <c r="C24" s="11"/>
      <c r="D24" s="11"/>
      <c r="E24" s="11"/>
    </row>
    <row r="25" customFormat="false" ht="15" hidden="false" customHeight="true" outlineLevel="0" collapsed="false">
      <c r="A25" s="21" t="s">
        <v>263</v>
      </c>
      <c r="B25" s="21" t="s">
        <v>264</v>
      </c>
      <c r="C25" s="21" t="s">
        <v>265</v>
      </c>
    </row>
    <row r="26" customFormat="false" ht="15" hidden="false" customHeight="true" outlineLevel="0" collapsed="false">
      <c r="A26" s="22" t="s">
        <v>296</v>
      </c>
      <c r="B26" s="45" t="n">
        <f aca="false">'Income Statement'!G6</f>
        <v>25465.776</v>
      </c>
      <c r="C26" s="6" t="s">
        <v>297</v>
      </c>
    </row>
    <row r="27" customFormat="false" ht="15" hidden="false" customHeight="true" outlineLevel="0" collapsed="false">
      <c r="A27" s="62" t="s">
        <v>298</v>
      </c>
      <c r="B27" s="29" t="n">
        <v>0.09</v>
      </c>
      <c r="C27" s="6" t="s">
        <v>299</v>
      </c>
    </row>
    <row r="28" customFormat="false" ht="15" hidden="false" customHeight="true" outlineLevel="0" collapsed="false">
      <c r="A28" s="22" t="s">
        <v>300</v>
      </c>
      <c r="B28" s="33" t="n">
        <f aca="false">'Income Statement'!G6/(1+B27)</f>
        <v>23363.0972477064</v>
      </c>
      <c r="C28" s="6" t="s">
        <v>301</v>
      </c>
    </row>
    <row r="29" customFormat="false" ht="15" hidden="false" customHeight="true" outlineLevel="0" collapsed="false">
      <c r="A29" s="22" t="s">
        <v>302</v>
      </c>
      <c r="B29" s="45" t="n">
        <f aca="false">'Income Statement'!G32</f>
        <v>780.741</v>
      </c>
      <c r="C29" s="6" t="s">
        <v>303</v>
      </c>
    </row>
    <row r="30" customFormat="false" ht="15" hidden="false" customHeight="true" outlineLevel="0" collapsed="false">
      <c r="A30" s="22" t="s">
        <v>304</v>
      </c>
      <c r="B30" s="45" t="n">
        <f aca="false">'Income Statement'!G24</f>
        <v>191.168</v>
      </c>
      <c r="C30" s="6" t="s">
        <v>305</v>
      </c>
    </row>
    <row r="32" customFormat="false" ht="15" hidden="false" customHeight="true" outlineLevel="0" collapsed="false">
      <c r="A32" s="64" t="s">
        <v>306</v>
      </c>
      <c r="B32" s="11"/>
      <c r="C32" s="11"/>
      <c r="D32" s="11"/>
      <c r="E32" s="11"/>
    </row>
    <row r="33" customFormat="false" ht="30" hidden="false" customHeight="true" outlineLevel="0" collapsed="false">
      <c r="A33" s="70" t="s">
        <v>307</v>
      </c>
    </row>
    <row r="34" customFormat="false" ht="45" hidden="false" customHeight="true" outlineLevel="0" collapsed="false">
      <c r="A34" s="70" t="s">
        <v>308</v>
      </c>
    </row>
    <row r="35" customFormat="false" ht="75" hidden="false" customHeight="true" outlineLevel="0" collapsed="false">
      <c r="A35" s="70" t="s">
        <v>309</v>
      </c>
    </row>
    <row r="36" customFormat="false" ht="30" hidden="false" customHeight="true" outlineLevel="0" collapsed="false">
      <c r="A36" s="70"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4"/>
    <col collapsed="false" customWidth="true" hidden="false" outlineLevel="0" max="6" min="6" style="0" width="95"/>
  </cols>
  <sheetData>
    <row r="1" customFormat="false" ht="17.35" hidden="false" customHeight="false" outlineLevel="0" collapsed="false">
      <c r="A1" s="71" t="s">
        <v>311</v>
      </c>
    </row>
    <row r="2" customFormat="false" ht="15" hidden="false" customHeight="false" outlineLevel="0" collapsed="false">
      <c r="A2" s="72" t="s">
        <v>312</v>
      </c>
    </row>
    <row r="5" customFormat="false" ht="15" hidden="false" customHeight="false" outlineLevel="0" collapsed="false">
      <c r="A5" s="73" t="s">
        <v>313</v>
      </c>
      <c r="B5" s="74" t="s">
        <v>314</v>
      </c>
      <c r="C5" s="75" t="s">
        <v>315</v>
      </c>
      <c r="D5" s="76" t="s">
        <v>316</v>
      </c>
      <c r="E5" s="77" t="s">
        <v>317</v>
      </c>
      <c r="F5" s="73" t="s">
        <v>318</v>
      </c>
    </row>
    <row r="6" customFormat="false" ht="15" hidden="false" customHeight="false" outlineLevel="0" collapsed="false">
      <c r="A6" s="78" t="s">
        <v>319</v>
      </c>
      <c r="B6" s="79" t="s">
        <v>320</v>
      </c>
      <c r="C6" s="79" t="s">
        <v>321</v>
      </c>
      <c r="D6" s="79" t="s">
        <v>322</v>
      </c>
      <c r="E6" s="79" t="s">
        <v>321</v>
      </c>
      <c r="F6" s="72" t="s">
        <v>323</v>
      </c>
    </row>
    <row r="7" customFormat="false" ht="30" hidden="false" customHeight="true" outlineLevel="0" collapsed="false">
      <c r="A7" s="78" t="s">
        <v>324</v>
      </c>
      <c r="B7" s="80" t="s">
        <v>325</v>
      </c>
      <c r="C7" s="81" t="s">
        <v>326</v>
      </c>
      <c r="D7" s="82" t="s">
        <v>327</v>
      </c>
      <c r="E7" s="83" t="s">
        <v>328</v>
      </c>
    </row>
    <row r="9" customFormat="false" ht="15" hidden="false" customHeight="false" outlineLevel="0" collapsed="false">
      <c r="A9" s="73" t="s">
        <v>329</v>
      </c>
      <c r="B9" s="84"/>
      <c r="C9" s="84"/>
      <c r="D9" s="84"/>
      <c r="E9" s="84"/>
      <c r="F9" s="84"/>
    </row>
    <row r="10" customFormat="false" ht="30" hidden="false" customHeight="true" outlineLevel="0" collapsed="false">
      <c r="A10" s="72" t="s">
        <v>330</v>
      </c>
    </row>
    <row r="11" customFormat="false" ht="15" hidden="false" customHeight="false" outlineLevel="0" collapsed="false">
      <c r="A11" s="73" t="s">
        <v>331</v>
      </c>
      <c r="B11" s="73" t="s">
        <v>332</v>
      </c>
      <c r="C11" s="73" t="s">
        <v>333</v>
      </c>
      <c r="D11" s="73" t="s">
        <v>334</v>
      </c>
      <c r="E11" s="73" t="s">
        <v>335</v>
      </c>
      <c r="F11" s="73" t="s">
        <v>336</v>
      </c>
    </row>
    <row r="12" customFormat="false" ht="15" hidden="false" customHeight="false" outlineLevel="0" collapsed="false">
      <c r="A12" s="85" t="s">
        <v>337</v>
      </c>
      <c r="B12" s="85" t="s">
        <v>338</v>
      </c>
      <c r="C12" s="85" t="s">
        <v>339</v>
      </c>
      <c r="D12" s="85" t="s">
        <v>340</v>
      </c>
      <c r="E12" s="85" t="s">
        <v>341</v>
      </c>
      <c r="F12" s="85" t="s">
        <v>342</v>
      </c>
    </row>
    <row r="13" customFormat="false" ht="15" hidden="false" customHeight="false" outlineLevel="0" collapsed="false">
      <c r="A13" s="85" t="s">
        <v>343</v>
      </c>
      <c r="B13" s="85" t="s">
        <v>344</v>
      </c>
      <c r="C13" s="85" t="s">
        <v>345</v>
      </c>
      <c r="D13" s="85" t="s">
        <v>346</v>
      </c>
      <c r="E13" s="85" t="s">
        <v>347</v>
      </c>
      <c r="F13" s="85" t="s">
        <v>348</v>
      </c>
    </row>
    <row r="14" customFormat="false" ht="15" hidden="false" customHeight="false" outlineLevel="0" collapsed="false">
      <c r="A14" s="86" t="s">
        <v>349</v>
      </c>
      <c r="B14" s="86" t="s">
        <v>350</v>
      </c>
      <c r="C14" s="86" t="s">
        <v>351</v>
      </c>
      <c r="D14" s="86" t="s">
        <v>352</v>
      </c>
      <c r="E14" s="86" t="s">
        <v>353</v>
      </c>
      <c r="F14" s="86" t="s">
        <v>354</v>
      </c>
    </row>
    <row r="15" customFormat="false" ht="15" hidden="false" customHeight="false" outlineLevel="0" collapsed="false">
      <c r="A15" s="85" t="s">
        <v>355</v>
      </c>
      <c r="B15" s="85" t="s">
        <v>356</v>
      </c>
      <c r="C15" s="85" t="s">
        <v>357</v>
      </c>
      <c r="D15" s="85" t="s">
        <v>346</v>
      </c>
      <c r="E15" s="85" t="s">
        <v>347</v>
      </c>
      <c r="F15" s="85" t="s">
        <v>358</v>
      </c>
    </row>
    <row r="16" customFormat="false" ht="15" hidden="false" customHeight="false" outlineLevel="0" collapsed="false">
      <c r="A16" s="85" t="s">
        <v>359</v>
      </c>
      <c r="B16" s="85" t="s">
        <v>360</v>
      </c>
      <c r="C16" s="85" t="s">
        <v>361</v>
      </c>
      <c r="D16" s="85" t="s">
        <v>362</v>
      </c>
      <c r="E16" s="85" t="s">
        <v>363</v>
      </c>
      <c r="F16" s="85" t="s">
        <v>364</v>
      </c>
    </row>
    <row r="17" customFormat="false" ht="15" hidden="false" customHeight="false" outlineLevel="0" collapsed="false">
      <c r="A17" s="85" t="s">
        <v>365</v>
      </c>
      <c r="B17" s="85" t="s">
        <v>366</v>
      </c>
      <c r="C17" s="85" t="s">
        <v>367</v>
      </c>
      <c r="D17" s="85" t="s">
        <v>368</v>
      </c>
      <c r="E17" s="85" t="s">
        <v>369</v>
      </c>
      <c r="F17" s="85" t="s">
        <v>370</v>
      </c>
    </row>
    <row r="18" customFormat="false" ht="15" hidden="false" customHeight="false" outlineLevel="0" collapsed="false">
      <c r="A18" s="85" t="s">
        <v>371</v>
      </c>
      <c r="B18" s="85" t="s">
        <v>372</v>
      </c>
      <c r="C18" s="85" t="s">
        <v>373</v>
      </c>
      <c r="D18" s="85" t="s">
        <v>374</v>
      </c>
      <c r="E18" s="85" t="s">
        <v>375</v>
      </c>
      <c r="F18" s="85" t="s">
        <v>376</v>
      </c>
    </row>
    <row r="19" customFormat="false" ht="15" hidden="false" customHeight="false" outlineLevel="0" collapsed="false">
      <c r="A19" s="86" t="s">
        <v>377</v>
      </c>
      <c r="B19" s="86" t="s">
        <v>350</v>
      </c>
      <c r="C19" s="86" t="s">
        <v>378</v>
      </c>
      <c r="D19" s="86" t="s">
        <v>379</v>
      </c>
      <c r="E19" s="86" t="s">
        <v>380</v>
      </c>
      <c r="F19" s="86" t="s">
        <v>381</v>
      </c>
    </row>
    <row r="21" customFormat="false" ht="15" hidden="false" customHeight="false" outlineLevel="0" collapsed="false">
      <c r="A21" s="73" t="s">
        <v>382</v>
      </c>
      <c r="B21" s="84"/>
      <c r="C21" s="84"/>
      <c r="D21" s="84"/>
      <c r="E21" s="84"/>
      <c r="F21" s="84"/>
    </row>
    <row r="22" customFormat="false" ht="39.75" hidden="false" customHeight="true" outlineLevel="0" collapsed="false">
      <c r="A22" s="87" t="s">
        <v>383</v>
      </c>
      <c r="F22" s="88" t="s">
        <v>384</v>
      </c>
    </row>
    <row r="23" customFormat="false" ht="15" hidden="false" customHeight="false" outlineLevel="0" collapsed="false">
      <c r="A23" s="89" t="s">
        <v>385</v>
      </c>
      <c r="B23" s="90"/>
      <c r="C23" s="90"/>
      <c r="D23" s="90"/>
      <c r="E23" s="90"/>
    </row>
    <row r="24" customFormat="false" ht="51.75" hidden="false" customHeight="true" outlineLevel="0" collapsed="false">
      <c r="A24" s="91" t="s">
        <v>386</v>
      </c>
      <c r="B24" s="92" t="s">
        <v>387</v>
      </c>
      <c r="C24" s="93" t="s">
        <v>388</v>
      </c>
      <c r="D24" s="94" t="s">
        <v>388</v>
      </c>
      <c r="E24" s="95" t="s">
        <v>388</v>
      </c>
      <c r="F24" s="96" t="s">
        <v>389</v>
      </c>
    </row>
    <row r="25" customFormat="false" ht="51.75" hidden="false" customHeight="true" outlineLevel="0" collapsed="false">
      <c r="A25" s="91" t="s">
        <v>390</v>
      </c>
      <c r="B25" s="92" t="s">
        <v>391</v>
      </c>
      <c r="C25" s="93" t="s">
        <v>392</v>
      </c>
      <c r="D25" s="94" t="s">
        <v>392</v>
      </c>
      <c r="E25" s="95" t="s">
        <v>393</v>
      </c>
      <c r="F25" s="96" t="s">
        <v>394</v>
      </c>
    </row>
    <row r="26" customFormat="false" ht="51.75" hidden="false" customHeight="true" outlineLevel="0" collapsed="false">
      <c r="A26" s="91" t="s">
        <v>395</v>
      </c>
      <c r="B26" s="92" t="s">
        <v>396</v>
      </c>
      <c r="C26" s="93" t="s">
        <v>397</v>
      </c>
      <c r="D26" s="94" t="s">
        <v>397</v>
      </c>
      <c r="E26" s="95" t="s">
        <v>398</v>
      </c>
      <c r="F26" s="96" t="s">
        <v>399</v>
      </c>
    </row>
    <row r="27" customFormat="false" ht="51.75" hidden="false" customHeight="true" outlineLevel="0" collapsed="false">
      <c r="A27" s="91" t="s">
        <v>400</v>
      </c>
      <c r="B27" s="92" t="s">
        <v>401</v>
      </c>
      <c r="C27" s="93" t="s">
        <v>402</v>
      </c>
      <c r="D27" s="94" t="s">
        <v>403</v>
      </c>
      <c r="E27" s="95" t="s">
        <v>404</v>
      </c>
      <c r="F27" s="96" t="s">
        <v>405</v>
      </c>
    </row>
    <row r="28" customFormat="false" ht="15" hidden="false" customHeight="false" outlineLevel="0" collapsed="false">
      <c r="A28" s="89" t="s">
        <v>406</v>
      </c>
      <c r="B28" s="90"/>
      <c r="C28" s="90"/>
      <c r="D28" s="90"/>
      <c r="E28" s="90"/>
    </row>
    <row r="29" customFormat="false" ht="51.75" hidden="false" customHeight="true" outlineLevel="0" collapsed="false">
      <c r="A29" s="91" t="s">
        <v>407</v>
      </c>
      <c r="B29" s="92" t="s">
        <v>408</v>
      </c>
      <c r="C29" s="93" t="s">
        <v>409</v>
      </c>
      <c r="D29" s="94" t="s">
        <v>409</v>
      </c>
      <c r="E29" s="95" t="s">
        <v>409</v>
      </c>
      <c r="F29" s="96" t="s">
        <v>410</v>
      </c>
    </row>
    <row r="30" customFormat="false" ht="51.75" hidden="false" customHeight="true" outlineLevel="0" collapsed="false">
      <c r="A30" s="91" t="s">
        <v>411</v>
      </c>
      <c r="B30" s="92" t="s">
        <v>412</v>
      </c>
      <c r="C30" s="93" t="s">
        <v>404</v>
      </c>
      <c r="D30" s="94" t="s">
        <v>403</v>
      </c>
      <c r="E30" s="95" t="s">
        <v>404</v>
      </c>
      <c r="F30" s="96" t="s">
        <v>413</v>
      </c>
    </row>
    <row r="31" customFormat="false" ht="45" hidden="false" customHeight="true" outlineLevel="0" collapsed="false">
      <c r="A31" s="97" t="s">
        <v>414</v>
      </c>
      <c r="F31" s="98" t="s">
        <v>415</v>
      </c>
    </row>
    <row r="33" customFormat="false" ht="15" hidden="false" customHeight="false" outlineLevel="0" collapsed="false">
      <c r="A33" s="73" t="s">
        <v>416</v>
      </c>
      <c r="B33" s="84"/>
      <c r="C33" s="84"/>
      <c r="D33" s="84"/>
      <c r="E33" s="84"/>
      <c r="F33" s="84"/>
    </row>
    <row r="34" customFormat="false" ht="51.75" hidden="false" customHeight="true" outlineLevel="0" collapsed="false">
      <c r="A34" s="91" t="s">
        <v>417</v>
      </c>
      <c r="B34" s="92" t="s">
        <v>418</v>
      </c>
      <c r="C34" s="93" t="s">
        <v>419</v>
      </c>
      <c r="D34" s="94" t="s">
        <v>419</v>
      </c>
      <c r="E34" s="95" t="s">
        <v>419</v>
      </c>
      <c r="F34" s="96" t="s">
        <v>420</v>
      </c>
    </row>
    <row r="35" customFormat="false" ht="51.75" hidden="false" customHeight="true" outlineLevel="0" collapsed="false">
      <c r="A35" s="91" t="s">
        <v>421</v>
      </c>
      <c r="B35" s="92" t="s">
        <v>422</v>
      </c>
      <c r="C35" s="93" t="s">
        <v>423</v>
      </c>
      <c r="D35" s="94" t="s">
        <v>424</v>
      </c>
      <c r="E35" s="95" t="s">
        <v>425</v>
      </c>
      <c r="F35" s="96" t="s">
        <v>426</v>
      </c>
    </row>
    <row r="36" customFormat="false" ht="51.75" hidden="false" customHeight="true" outlineLevel="0" collapsed="false">
      <c r="A36" s="91" t="s">
        <v>427</v>
      </c>
      <c r="B36" s="92" t="s">
        <v>428</v>
      </c>
      <c r="C36" s="93" t="s">
        <v>429</v>
      </c>
      <c r="D36" s="94" t="s">
        <v>430</v>
      </c>
      <c r="E36" s="95" t="s">
        <v>431</v>
      </c>
      <c r="F36" s="96" t="s">
        <v>432</v>
      </c>
    </row>
    <row r="37" customFormat="false" ht="51.75" hidden="false" customHeight="true" outlineLevel="0" collapsed="false">
      <c r="A37" s="91" t="s">
        <v>433</v>
      </c>
      <c r="B37" s="92" t="s">
        <v>434</v>
      </c>
      <c r="C37" s="93" t="s">
        <v>435</v>
      </c>
      <c r="D37" s="94" t="s">
        <v>436</v>
      </c>
      <c r="E37" s="95" t="s">
        <v>437</v>
      </c>
      <c r="F37" s="96" t="s">
        <v>438</v>
      </c>
    </row>
    <row r="38" customFormat="false" ht="51.75" hidden="false" customHeight="true" outlineLevel="0" collapsed="false">
      <c r="A38" s="91" t="s">
        <v>439</v>
      </c>
      <c r="B38" s="92" t="s">
        <v>440</v>
      </c>
      <c r="C38" s="93" t="s">
        <v>441</v>
      </c>
      <c r="D38" s="94" t="s">
        <v>442</v>
      </c>
      <c r="E38" s="95" t="s">
        <v>443</v>
      </c>
      <c r="F38" s="96" t="s">
        <v>444</v>
      </c>
    </row>
    <row r="39" customFormat="false" ht="51.75" hidden="false" customHeight="true" outlineLevel="0" collapsed="false">
      <c r="A39" s="91" t="s">
        <v>445</v>
      </c>
      <c r="B39" s="92" t="s">
        <v>446</v>
      </c>
      <c r="C39" s="93" t="s">
        <v>447</v>
      </c>
      <c r="D39" s="94" t="s">
        <v>448</v>
      </c>
      <c r="E39" s="95" t="s">
        <v>449</v>
      </c>
      <c r="F39" s="96" t="s">
        <v>450</v>
      </c>
    </row>
    <row r="41" customFormat="false" ht="15" hidden="false" customHeight="false" outlineLevel="0" collapsed="false">
      <c r="A41" s="73" t="s">
        <v>451</v>
      </c>
      <c r="B41" s="84"/>
      <c r="C41" s="84"/>
      <c r="D41" s="84"/>
      <c r="E41" s="84"/>
      <c r="F41" s="84"/>
    </row>
    <row r="42" customFormat="false" ht="51.75" hidden="false" customHeight="true" outlineLevel="0" collapsed="false">
      <c r="A42" s="91" t="s">
        <v>452</v>
      </c>
      <c r="B42" s="92" t="s">
        <v>453</v>
      </c>
      <c r="C42" s="93" t="s">
        <v>454</v>
      </c>
      <c r="D42" s="94" t="s">
        <v>455</v>
      </c>
      <c r="E42" s="95" t="s">
        <v>456</v>
      </c>
      <c r="F42" s="96" t="s">
        <v>457</v>
      </c>
    </row>
    <row r="43" customFormat="false" ht="51.75" hidden="false" customHeight="true" outlineLevel="0" collapsed="false">
      <c r="A43" s="91" t="s">
        <v>458</v>
      </c>
      <c r="B43" s="92" t="s">
        <v>459</v>
      </c>
      <c r="C43" s="93" t="s">
        <v>460</v>
      </c>
      <c r="D43" s="94" t="s">
        <v>404</v>
      </c>
      <c r="E43" s="95" t="s">
        <v>404</v>
      </c>
      <c r="F43" s="96" t="s">
        <v>461</v>
      </c>
    </row>
    <row r="44" customFormat="false" ht="51.75" hidden="false" customHeight="true" outlineLevel="0" collapsed="false">
      <c r="A44" s="91" t="s">
        <v>462</v>
      </c>
      <c r="B44" s="92" t="s">
        <v>463</v>
      </c>
      <c r="C44" s="93" t="s">
        <v>454</v>
      </c>
      <c r="D44" s="94" t="s">
        <v>464</v>
      </c>
      <c r="E44" s="95" t="s">
        <v>465</v>
      </c>
      <c r="F44" s="96" t="s">
        <v>466</v>
      </c>
    </row>
    <row r="46" customFormat="false" ht="15" hidden="false" customHeight="false" outlineLevel="0" collapsed="false">
      <c r="A46" s="73" t="s">
        <v>467</v>
      </c>
      <c r="B46" s="84"/>
      <c r="C46" s="84"/>
      <c r="D46" s="84"/>
      <c r="E46" s="84"/>
      <c r="F46" s="84"/>
    </row>
    <row r="47" customFormat="false" ht="15" hidden="false" customHeight="false" outlineLevel="0" collapsed="false">
      <c r="A47" s="73" t="s">
        <v>468</v>
      </c>
      <c r="B47" s="74" t="s">
        <v>314</v>
      </c>
      <c r="C47" s="75" t="s">
        <v>315</v>
      </c>
      <c r="D47" s="76" t="s">
        <v>316</v>
      </c>
      <c r="E47" s="77" t="s">
        <v>317</v>
      </c>
      <c r="F47" s="73" t="s">
        <v>318</v>
      </c>
    </row>
    <row r="48" customFormat="false" ht="15" hidden="false" customHeight="false" outlineLevel="0" collapsed="false">
      <c r="A48" s="89" t="s">
        <v>127</v>
      </c>
      <c r="B48" s="90"/>
      <c r="C48" s="90"/>
      <c r="D48" s="90"/>
      <c r="E48" s="90"/>
    </row>
    <row r="49" customFormat="false" ht="15" hidden="false" customHeight="false" outlineLevel="0" collapsed="false">
      <c r="A49" s="99" t="s">
        <v>469</v>
      </c>
      <c r="B49" s="100" t="n">
        <v>94783</v>
      </c>
      <c r="C49" s="101" t="n">
        <v>94783</v>
      </c>
      <c r="D49" s="102" t="n">
        <v>94783</v>
      </c>
      <c r="E49" s="103" t="n">
        <v>90725</v>
      </c>
      <c r="F49" s="70" t="s">
        <v>470</v>
      </c>
    </row>
    <row r="50" customFormat="false" ht="15" hidden="false" customHeight="false" outlineLevel="0" collapsed="false">
      <c r="A50" s="99" t="s">
        <v>471</v>
      </c>
      <c r="B50" s="100" t="n">
        <v>9510</v>
      </c>
      <c r="C50" s="101" t="n">
        <v>4755</v>
      </c>
      <c r="D50" s="102" t="n">
        <v>0</v>
      </c>
      <c r="E50" s="103" t="n">
        <v>0</v>
      </c>
      <c r="F50" s="70" t="s">
        <v>472</v>
      </c>
    </row>
    <row r="51" customFormat="false" ht="15" hidden="false" customHeight="false" outlineLevel="0" collapsed="false">
      <c r="A51" s="99" t="s">
        <v>473</v>
      </c>
      <c r="B51" s="100" t="n">
        <v>1520</v>
      </c>
      <c r="C51" s="101" t="n">
        <v>800</v>
      </c>
      <c r="D51" s="102" t="n">
        <v>0</v>
      </c>
      <c r="E51" s="103" t="n">
        <v>0</v>
      </c>
      <c r="F51" s="70" t="s">
        <v>474</v>
      </c>
    </row>
    <row r="52" customFormat="false" ht="15" hidden="false" customHeight="false" outlineLevel="0" collapsed="false">
      <c r="A52" s="99" t="s">
        <v>475</v>
      </c>
      <c r="B52" s="100" t="n">
        <v>2000</v>
      </c>
      <c r="C52" s="101" t="n">
        <v>0</v>
      </c>
      <c r="D52" s="102" t="n">
        <v>0</v>
      </c>
      <c r="E52" s="103" t="n">
        <v>0</v>
      </c>
      <c r="F52" s="70" t="s">
        <v>476</v>
      </c>
    </row>
    <row r="53" customFormat="false" ht="15" hidden="false" customHeight="false" outlineLevel="0" collapsed="false">
      <c r="A53" s="78" t="s">
        <v>477</v>
      </c>
      <c r="B53" s="104" t="n">
        <v>107813</v>
      </c>
      <c r="C53" s="105" t="n">
        <v>100338</v>
      </c>
      <c r="D53" s="106" t="n">
        <v>94783</v>
      </c>
      <c r="E53" s="107" t="n">
        <v>90725</v>
      </c>
    </row>
    <row r="54" customFormat="false" ht="15" hidden="false" customHeight="false" outlineLevel="0" collapsed="false">
      <c r="C54" s="108"/>
    </row>
    <row r="55" customFormat="false" ht="15" hidden="false" customHeight="false" outlineLevel="0" collapsed="false">
      <c r="D55" s="108"/>
    </row>
    <row r="56" customFormat="false" ht="15" hidden="false" customHeight="false" outlineLevel="0" collapsed="false">
      <c r="E56" s="108"/>
    </row>
    <row r="57" customFormat="false" ht="15" hidden="false" customHeight="false" outlineLevel="0" collapsed="false">
      <c r="A57" s="72" t="s">
        <v>478</v>
      </c>
      <c r="B57" s="109" t="n">
        <v>0.263</v>
      </c>
      <c r="C57" s="110" t="n">
        <v>0.175</v>
      </c>
      <c r="D57" s="111" t="n">
        <v>0.11</v>
      </c>
      <c r="E57" s="112" t="n">
        <v>0.063</v>
      </c>
      <c r="F57" s="70" t="s">
        <v>479</v>
      </c>
    </row>
    <row r="58" customFormat="false" ht="15" hidden="false" customHeight="false" outlineLevel="0" collapsed="false">
      <c r="A58" s="89" t="s">
        <v>480</v>
      </c>
      <c r="B58" s="90"/>
      <c r="C58" s="90"/>
      <c r="D58" s="90"/>
      <c r="E58" s="90"/>
    </row>
    <row r="59" customFormat="false" ht="22.35" hidden="false" customHeight="false" outlineLevel="0" collapsed="false">
      <c r="A59" s="99" t="s">
        <v>481</v>
      </c>
      <c r="B59" s="100" t="n">
        <v>32727</v>
      </c>
      <c r="C59" s="101" t="n">
        <v>25847</v>
      </c>
      <c r="D59" s="102" t="n">
        <v>20928</v>
      </c>
      <c r="E59" s="103" t="n">
        <v>18897</v>
      </c>
      <c r="F59" s="70" t="s">
        <v>482</v>
      </c>
    </row>
    <row r="60" customFormat="false" ht="22.35" hidden="false" customHeight="false" outlineLevel="0" collapsed="false">
      <c r="A60" s="99" t="s">
        <v>483</v>
      </c>
      <c r="B60" s="100" t="n">
        <v>18900</v>
      </c>
      <c r="C60" s="101" t="n">
        <v>18900</v>
      </c>
      <c r="D60" s="102" t="n">
        <v>18900</v>
      </c>
      <c r="E60" s="103" t="n">
        <v>20400</v>
      </c>
      <c r="F60" s="70" t="s">
        <v>484</v>
      </c>
    </row>
    <row r="61" customFormat="false" ht="15" hidden="false" customHeight="false" outlineLevel="0" collapsed="false">
      <c r="A61" s="78" t="s">
        <v>485</v>
      </c>
      <c r="B61" s="104" t="n">
        <v>13827</v>
      </c>
      <c r="C61" s="113" t="n">
        <v>6947</v>
      </c>
      <c r="D61" s="114" t="n">
        <v>2028</v>
      </c>
      <c r="E61" s="115" t="n">
        <v>-1503</v>
      </c>
    </row>
    <row r="62" customFormat="false" ht="15" hidden="false" customHeight="false" outlineLevel="0" collapsed="false">
      <c r="A62" s="78" t="s">
        <v>486</v>
      </c>
      <c r="B62" s="104" t="n">
        <v>10061</v>
      </c>
      <c r="C62" s="113" t="n">
        <v>5246</v>
      </c>
      <c r="D62" s="114" t="n">
        <v>1801</v>
      </c>
      <c r="E62" s="115" t="n">
        <v>-955</v>
      </c>
    </row>
    <row r="63" customFormat="false" ht="15" hidden="false" customHeight="false" outlineLevel="0" collapsed="false">
      <c r="A63" s="78" t="s">
        <v>487</v>
      </c>
      <c r="B63" s="116" t="n">
        <v>0.365854545454545</v>
      </c>
      <c r="C63" s="117" t="n">
        <v>0.190763636363636</v>
      </c>
      <c r="D63" s="118" t="n">
        <v>0.0654909090909091</v>
      </c>
      <c r="E63" s="119" t="n">
        <v>-0.0347272727272727</v>
      </c>
    </row>
    <row r="64" customFormat="false" ht="22.35" hidden="false" customHeight="false" outlineLevel="0" collapsed="false">
      <c r="A64" s="72" t="s">
        <v>488</v>
      </c>
      <c r="B64" s="120" t="n">
        <v>0.14</v>
      </c>
      <c r="C64" s="121" t="n">
        <v>0.07</v>
      </c>
      <c r="D64" s="122" t="n">
        <v>0.0849</v>
      </c>
      <c r="E64" s="123" t="n">
        <v>-0.034</v>
      </c>
      <c r="F64" s="70" t="s">
        <v>489</v>
      </c>
    </row>
    <row r="65" customFormat="false" ht="22.35" hidden="false" customHeight="false" outlineLevel="0" collapsed="false">
      <c r="A65" s="99" t="s">
        <v>490</v>
      </c>
      <c r="B65" s="100" t="n">
        <v>15027</v>
      </c>
      <c r="C65" s="101" t="n">
        <v>8147</v>
      </c>
      <c r="D65" s="102" t="n">
        <v>4228</v>
      </c>
      <c r="E65" s="103" t="n">
        <v>1697</v>
      </c>
      <c r="F65" s="70" t="s">
        <v>491</v>
      </c>
    </row>
    <row r="67" customFormat="false" ht="15" hidden="false" customHeight="false" outlineLevel="0" collapsed="false">
      <c r="A67" s="73" t="s">
        <v>492</v>
      </c>
      <c r="B67" s="74" t="s">
        <v>314</v>
      </c>
      <c r="C67" s="75" t="s">
        <v>315</v>
      </c>
      <c r="D67" s="76" t="s">
        <v>316</v>
      </c>
      <c r="E67" s="77" t="s">
        <v>317</v>
      </c>
      <c r="F67" s="73" t="s">
        <v>318</v>
      </c>
    </row>
    <row r="68" customFormat="false" ht="15" hidden="false" customHeight="false" outlineLevel="0" collapsed="false">
      <c r="A68" s="99" t="s">
        <v>493</v>
      </c>
      <c r="B68" s="100" t="n">
        <v>103213</v>
      </c>
      <c r="C68" s="101" t="n">
        <v>103213</v>
      </c>
      <c r="D68" s="102" t="n">
        <v>103213</v>
      </c>
      <c r="E68" s="103" t="n">
        <v>98244</v>
      </c>
      <c r="F68" s="70" t="s">
        <v>494</v>
      </c>
    </row>
    <row r="69" customFormat="false" ht="22.35" hidden="false" customHeight="false" outlineLevel="0" collapsed="false">
      <c r="A69" s="99" t="s">
        <v>495</v>
      </c>
      <c r="B69" s="100" t="n">
        <v>22720</v>
      </c>
      <c r="C69" s="101" t="n">
        <v>11360</v>
      </c>
      <c r="D69" s="102" t="n">
        <v>0</v>
      </c>
      <c r="E69" s="103" t="n">
        <v>7904</v>
      </c>
      <c r="F69" s="70" t="s">
        <v>496</v>
      </c>
    </row>
    <row r="70" customFormat="false" ht="22.35" hidden="false" customHeight="false" outlineLevel="0" collapsed="false">
      <c r="A70" s="99" t="s">
        <v>497</v>
      </c>
      <c r="B70" s="100" t="n">
        <v>2316</v>
      </c>
      <c r="C70" s="101" t="n">
        <v>0</v>
      </c>
      <c r="D70" s="102" t="n">
        <v>0</v>
      </c>
      <c r="E70" s="103" t="n">
        <v>0</v>
      </c>
      <c r="F70" s="70" t="s">
        <v>498</v>
      </c>
    </row>
    <row r="71" customFormat="false" ht="22.35" hidden="false" customHeight="false" outlineLevel="0" collapsed="false">
      <c r="A71" s="99" t="s">
        <v>499</v>
      </c>
      <c r="B71" s="100" t="n">
        <v>32200</v>
      </c>
      <c r="C71" s="101" t="n">
        <v>30000</v>
      </c>
      <c r="D71" s="102" t="n">
        <v>27800</v>
      </c>
      <c r="E71" s="103" t="n">
        <v>24000</v>
      </c>
      <c r="F71" s="70" t="s">
        <v>500</v>
      </c>
    </row>
    <row r="72" customFormat="false" ht="15" hidden="false" customHeight="false" outlineLevel="0" collapsed="false">
      <c r="A72" s="78" t="s">
        <v>501</v>
      </c>
      <c r="B72" s="104" t="n">
        <v>160449</v>
      </c>
      <c r="C72" s="113" t="n">
        <v>144573</v>
      </c>
      <c r="D72" s="114" t="n">
        <v>131013</v>
      </c>
      <c r="E72" s="115" t="n">
        <v>130148</v>
      </c>
    </row>
    <row r="73" customFormat="false" ht="15" hidden="false" customHeight="false" outlineLevel="0" collapsed="false">
      <c r="A73" s="78" t="s">
        <v>502</v>
      </c>
      <c r="B73" s="104" t="n">
        <v>22479</v>
      </c>
      <c r="C73" s="113" t="n">
        <v>12967</v>
      </c>
      <c r="D73" s="114" t="n">
        <v>7134</v>
      </c>
      <c r="E73" s="115" t="n">
        <v>4062</v>
      </c>
    </row>
    <row r="74" customFormat="false" ht="15" hidden="false" customHeight="false" outlineLevel="0" collapsed="false">
      <c r="A74" s="78" t="s">
        <v>503</v>
      </c>
      <c r="B74" s="116" t="n">
        <v>0.817418181818182</v>
      </c>
      <c r="C74" s="117" t="n">
        <v>0.471527272727273</v>
      </c>
      <c r="D74" s="118" t="n">
        <v>0.259418181818182</v>
      </c>
      <c r="E74" s="119" t="n">
        <v>0.147709090909091</v>
      </c>
    </row>
    <row r="75" customFormat="false" ht="22.35" hidden="false" customHeight="false" outlineLevel="0" collapsed="false">
      <c r="A75" s="72" t="s">
        <v>504</v>
      </c>
      <c r="B75" s="120" t="n">
        <v>0.42</v>
      </c>
      <c r="C75" s="121" t="n">
        <v>0.21</v>
      </c>
      <c r="D75" s="124"/>
      <c r="E75" s="123" t="n">
        <v>0.05</v>
      </c>
      <c r="F75" s="70" t="s">
        <v>505</v>
      </c>
    </row>
    <row r="77" customFormat="false" ht="15" hidden="false" customHeight="false" outlineLevel="0" collapsed="false">
      <c r="A77" s="73" t="s">
        <v>506</v>
      </c>
      <c r="B77" s="84"/>
      <c r="C77" s="84"/>
      <c r="D77" s="84"/>
      <c r="E77" s="84"/>
      <c r="F77" s="84"/>
    </row>
    <row r="78" customFormat="false" ht="15" hidden="false" customHeight="false" outlineLevel="0" collapsed="false">
      <c r="A78" s="73" t="s">
        <v>507</v>
      </c>
      <c r="B78" s="74" t="s">
        <v>314</v>
      </c>
      <c r="C78" s="75" t="s">
        <v>315</v>
      </c>
      <c r="D78" s="76" t="s">
        <v>316</v>
      </c>
      <c r="E78" s="77" t="s">
        <v>317</v>
      </c>
      <c r="F78" s="73" t="s">
        <v>318</v>
      </c>
    </row>
    <row r="79" customFormat="false" ht="51.75" hidden="false" customHeight="true" outlineLevel="0" collapsed="false">
      <c r="A79" s="91" t="s">
        <v>508</v>
      </c>
      <c r="B79" s="92" t="s">
        <v>509</v>
      </c>
      <c r="C79" s="93" t="s">
        <v>509</v>
      </c>
      <c r="D79" s="94" t="s">
        <v>509</v>
      </c>
      <c r="E79" s="95" t="s">
        <v>509</v>
      </c>
      <c r="F79" s="96" t="s">
        <v>510</v>
      </c>
    </row>
    <row r="80" customFormat="false" ht="51.75" hidden="false" customHeight="true" outlineLevel="0" collapsed="false">
      <c r="A80" s="91" t="s">
        <v>511</v>
      </c>
      <c r="B80" s="92" t="s">
        <v>512</v>
      </c>
      <c r="C80" s="93" t="s">
        <v>512</v>
      </c>
      <c r="D80" s="94" t="s">
        <v>512</v>
      </c>
      <c r="E80" s="95" t="s">
        <v>512</v>
      </c>
      <c r="F80" s="96" t="s">
        <v>513</v>
      </c>
    </row>
    <row r="81" customFormat="false" ht="51.75" hidden="false" customHeight="true" outlineLevel="0" collapsed="false">
      <c r="A81" s="91" t="s">
        <v>514</v>
      </c>
      <c r="B81" s="92" t="s">
        <v>515</v>
      </c>
      <c r="C81" s="93" t="s">
        <v>516</v>
      </c>
      <c r="D81" s="94" t="s">
        <v>517</v>
      </c>
      <c r="E81" s="95" t="s">
        <v>518</v>
      </c>
      <c r="F81" s="96" t="s">
        <v>519</v>
      </c>
    </row>
    <row r="82" customFormat="false" ht="51.75" hidden="false" customHeight="true" outlineLevel="0" collapsed="false">
      <c r="A82" s="91" t="s">
        <v>520</v>
      </c>
      <c r="B82" s="92" t="s">
        <v>521</v>
      </c>
      <c r="C82" s="93" t="s">
        <v>522</v>
      </c>
      <c r="D82" s="94" t="s">
        <v>523</v>
      </c>
      <c r="E82" s="95" t="s">
        <v>524</v>
      </c>
      <c r="F82" s="96" t="s">
        <v>525</v>
      </c>
    </row>
    <row r="83" customFormat="false" ht="51.75" hidden="false" customHeight="true" outlineLevel="0" collapsed="false">
      <c r="A83" s="91" t="s">
        <v>526</v>
      </c>
      <c r="B83" s="92" t="s">
        <v>527</v>
      </c>
      <c r="C83" s="93" t="s">
        <v>528</v>
      </c>
      <c r="D83" s="94" t="s">
        <v>529</v>
      </c>
      <c r="E83" s="95" t="s">
        <v>350</v>
      </c>
      <c r="F83" s="96" t="s">
        <v>530</v>
      </c>
    </row>
    <row r="84" customFormat="false" ht="51.75" hidden="false" customHeight="true" outlineLevel="0" collapsed="false">
      <c r="A84" s="91" t="s">
        <v>531</v>
      </c>
      <c r="B84" s="92" t="s">
        <v>532</v>
      </c>
      <c r="C84" s="93" t="s">
        <v>533</v>
      </c>
      <c r="D84" s="94" t="s">
        <v>534</v>
      </c>
      <c r="E84" s="95" t="s">
        <v>535</v>
      </c>
      <c r="F84" s="96" t="s">
        <v>536</v>
      </c>
    </row>
    <row r="86" customFormat="false" ht="15" hidden="false" customHeight="false" outlineLevel="0" collapsed="false">
      <c r="A86" s="73" t="s">
        <v>537</v>
      </c>
      <c r="B86" s="84"/>
      <c r="C86" s="84"/>
      <c r="D86" s="84"/>
      <c r="E86" s="84"/>
      <c r="F86" s="84"/>
    </row>
    <row r="87" customFormat="false" ht="15" hidden="false" customHeight="false" outlineLevel="0" collapsed="false">
      <c r="A87" s="73" t="s">
        <v>538</v>
      </c>
      <c r="B87" s="125" t="s">
        <v>539</v>
      </c>
      <c r="C87" s="126" t="s">
        <v>540</v>
      </c>
      <c r="D87" s="73" t="s">
        <v>541</v>
      </c>
      <c r="E87" s="73" t="s">
        <v>542</v>
      </c>
      <c r="F87" s="73" t="s">
        <v>543</v>
      </c>
    </row>
    <row r="88" customFormat="false" ht="54.75" hidden="false" customHeight="true" outlineLevel="0" collapsed="false">
      <c r="A88" s="127" t="s">
        <v>544</v>
      </c>
      <c r="B88" s="97" t="s">
        <v>545</v>
      </c>
      <c r="C88" s="87" t="s">
        <v>546</v>
      </c>
      <c r="D88" s="128" t="s">
        <v>547</v>
      </c>
      <c r="E88" s="129" t="s">
        <v>548</v>
      </c>
      <c r="F88" s="96" t="s">
        <v>549</v>
      </c>
    </row>
    <row r="89" customFormat="false" ht="54.75" hidden="false" customHeight="true" outlineLevel="0" collapsed="false">
      <c r="A89" s="127" t="s">
        <v>550</v>
      </c>
      <c r="B89" s="97" t="s">
        <v>551</v>
      </c>
      <c r="C89" s="87" t="s">
        <v>552</v>
      </c>
      <c r="D89" s="128" t="s">
        <v>553</v>
      </c>
      <c r="E89" s="129" t="s">
        <v>554</v>
      </c>
      <c r="F89" s="96" t="s">
        <v>555</v>
      </c>
    </row>
    <row r="90" customFormat="false" ht="54.75" hidden="false" customHeight="true" outlineLevel="0" collapsed="false">
      <c r="A90" s="127" t="s">
        <v>556</v>
      </c>
      <c r="B90" s="97" t="s">
        <v>557</v>
      </c>
      <c r="C90" s="87" t="s">
        <v>558</v>
      </c>
      <c r="D90" s="128" t="s">
        <v>559</v>
      </c>
      <c r="E90" s="129" t="s">
        <v>560</v>
      </c>
      <c r="F90" s="96" t="s">
        <v>561</v>
      </c>
    </row>
    <row r="91" customFormat="false" ht="54.75" hidden="false" customHeight="true" outlineLevel="0" collapsed="false">
      <c r="A91" s="127" t="s">
        <v>562</v>
      </c>
      <c r="B91" s="97" t="s">
        <v>563</v>
      </c>
      <c r="C91" s="87" t="s">
        <v>564</v>
      </c>
      <c r="D91" s="128" t="s">
        <v>565</v>
      </c>
      <c r="E91" s="129" t="s">
        <v>566</v>
      </c>
      <c r="F91" s="96" t="s">
        <v>567</v>
      </c>
    </row>
    <row r="92" customFormat="false" ht="54.75" hidden="false" customHeight="true" outlineLevel="0" collapsed="false">
      <c r="A92" s="127" t="s">
        <v>568</v>
      </c>
      <c r="B92" s="97" t="s">
        <v>557</v>
      </c>
      <c r="C92" s="87" t="s">
        <v>569</v>
      </c>
      <c r="D92" s="128" t="s">
        <v>570</v>
      </c>
      <c r="E92" s="129" t="s">
        <v>571</v>
      </c>
      <c r="F92" s="96" t="s">
        <v>572</v>
      </c>
    </row>
    <row r="93" customFormat="false" ht="54.75" hidden="false" customHeight="true" outlineLevel="0" collapsed="false">
      <c r="A93" s="127" t="s">
        <v>573</v>
      </c>
      <c r="B93" s="97" t="s">
        <v>563</v>
      </c>
      <c r="C93" s="87" t="s">
        <v>564</v>
      </c>
      <c r="D93" s="128" t="s">
        <v>574</v>
      </c>
      <c r="E93" s="129" t="s">
        <v>575</v>
      </c>
      <c r="F93" s="96" t="s">
        <v>576</v>
      </c>
    </row>
    <row r="94" customFormat="false" ht="54.75" hidden="false" customHeight="true" outlineLevel="0" collapsed="false">
      <c r="A94" s="127" t="s">
        <v>577</v>
      </c>
      <c r="B94" s="97" t="s">
        <v>578</v>
      </c>
      <c r="C94" s="87" t="s">
        <v>579</v>
      </c>
      <c r="D94" s="128" t="s">
        <v>580</v>
      </c>
      <c r="E94" s="129" t="s">
        <v>581</v>
      </c>
      <c r="F94" s="96" t="s">
        <v>582</v>
      </c>
    </row>
    <row r="95" customFormat="false" ht="54.75" hidden="false" customHeight="true" outlineLevel="0" collapsed="false">
      <c r="A95" s="127" t="s">
        <v>583</v>
      </c>
      <c r="B95" s="97" t="s">
        <v>584</v>
      </c>
      <c r="C95" s="87" t="s">
        <v>569</v>
      </c>
      <c r="D95" s="128" t="s">
        <v>585</v>
      </c>
      <c r="E95" s="129" t="s">
        <v>586</v>
      </c>
      <c r="F95" s="96" t="s">
        <v>587</v>
      </c>
    </row>
    <row r="97" customFormat="false" ht="15" hidden="false" customHeight="false" outlineLevel="0" collapsed="false">
      <c r="A97" s="73" t="s">
        <v>588</v>
      </c>
      <c r="B97" s="84"/>
      <c r="C97" s="84"/>
      <c r="D97" s="84"/>
      <c r="E97" s="84"/>
      <c r="F97" s="84"/>
    </row>
    <row r="98" customFormat="false" ht="51.75" hidden="false" customHeight="true" outlineLevel="0" collapsed="false">
      <c r="A98" s="91" t="s">
        <v>589</v>
      </c>
      <c r="B98" s="92" t="s">
        <v>590</v>
      </c>
      <c r="C98" s="93" t="s">
        <v>591</v>
      </c>
      <c r="D98" s="94" t="s">
        <v>590</v>
      </c>
      <c r="E98" s="95" t="s">
        <v>592</v>
      </c>
      <c r="F98" s="96" t="s">
        <v>593</v>
      </c>
    </row>
    <row r="99" customFormat="false" ht="51.75" hidden="false" customHeight="true" outlineLevel="0" collapsed="false">
      <c r="A99" s="91" t="s">
        <v>594</v>
      </c>
      <c r="B99" s="92" t="s">
        <v>595</v>
      </c>
      <c r="C99" s="93" t="s">
        <v>596</v>
      </c>
      <c r="D99" s="94" t="s">
        <v>597</v>
      </c>
      <c r="E99" s="95" t="s">
        <v>598</v>
      </c>
      <c r="F99" s="96" t="s">
        <v>599</v>
      </c>
    </row>
    <row r="100" customFormat="false" ht="51.75" hidden="false" customHeight="true" outlineLevel="0" collapsed="false">
      <c r="A100" s="91" t="s">
        <v>600</v>
      </c>
      <c r="B100" s="92" t="s">
        <v>601</v>
      </c>
      <c r="C100" s="93" t="s">
        <v>602</v>
      </c>
      <c r="D100" s="94" t="s">
        <v>603</v>
      </c>
      <c r="E100" s="95" t="s">
        <v>604</v>
      </c>
      <c r="F100" s="96" t="s">
        <v>605</v>
      </c>
    </row>
    <row r="101" customFormat="false" ht="51.75" hidden="false" customHeight="true" outlineLevel="0" collapsed="false">
      <c r="A101" s="91" t="s">
        <v>606</v>
      </c>
      <c r="B101" s="92" t="s">
        <v>607</v>
      </c>
      <c r="C101" s="93" t="s">
        <v>608</v>
      </c>
      <c r="D101" s="94" t="s">
        <v>609</v>
      </c>
      <c r="E101" s="95" t="s">
        <v>610</v>
      </c>
      <c r="F101" s="96"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1" min="2" style="1" width="10"/>
  </cols>
  <sheetData>
    <row r="1" customFormat="false" ht="17.25" hidden="false" customHeight="true" outlineLevel="0" collapsed="false">
      <c r="A1" s="2" t="s">
        <v>612</v>
      </c>
    </row>
    <row r="2" customFormat="false" ht="15" hidden="false" customHeight="true" outlineLevel="0" collapsed="false">
      <c r="A2" s="6" t="s">
        <v>613</v>
      </c>
    </row>
    <row r="4" customFormat="false" ht="15" hidden="false" customHeight="true" outlineLevel="0" collapsed="false">
      <c r="A4" s="21" t="s">
        <v>90</v>
      </c>
      <c r="B4" s="8" t="s">
        <v>34</v>
      </c>
      <c r="C4" s="8" t="s">
        <v>35</v>
      </c>
      <c r="D4" s="8" t="s">
        <v>36</v>
      </c>
      <c r="E4" s="8" t="s">
        <v>37</v>
      </c>
      <c r="F4" s="9" t="s">
        <v>38</v>
      </c>
      <c r="G4" s="8" t="s">
        <v>39</v>
      </c>
      <c r="H4" s="8" t="s">
        <v>40</v>
      </c>
      <c r="I4" s="8" t="s">
        <v>41</v>
      </c>
      <c r="J4" s="8" t="s">
        <v>42</v>
      </c>
      <c r="K4" s="9" t="s">
        <v>43</v>
      </c>
      <c r="L4" s="8" t="s">
        <v>44</v>
      </c>
      <c r="M4" s="8" t="s">
        <v>45</v>
      </c>
      <c r="N4" s="8" t="s">
        <v>46</v>
      </c>
      <c r="O4" s="8" t="s">
        <v>47</v>
      </c>
      <c r="P4" s="9" t="s">
        <v>48</v>
      </c>
      <c r="Q4" s="8" t="s">
        <v>49</v>
      </c>
      <c r="R4" s="8" t="s">
        <v>50</v>
      </c>
      <c r="S4" s="8" t="s">
        <v>51</v>
      </c>
      <c r="T4" s="8" t="s">
        <v>52</v>
      </c>
      <c r="U4" s="9" t="s">
        <v>53</v>
      </c>
    </row>
    <row r="6" customFormat="false" ht="15" hidden="false" customHeight="true" outlineLevel="0" collapsed="false">
      <c r="A6" s="46" t="s">
        <v>614</v>
      </c>
      <c r="B6" s="47"/>
      <c r="C6" s="47"/>
      <c r="D6" s="47"/>
      <c r="E6" s="47"/>
      <c r="F6" s="47"/>
      <c r="G6" s="47"/>
      <c r="H6" s="47"/>
      <c r="I6" s="47"/>
      <c r="J6" s="47"/>
      <c r="K6" s="47"/>
      <c r="L6" s="47"/>
      <c r="M6" s="47"/>
      <c r="N6" s="47"/>
      <c r="O6" s="47"/>
      <c r="P6" s="47"/>
      <c r="Q6" s="47"/>
      <c r="R6" s="47"/>
      <c r="S6" s="47"/>
      <c r="T6" s="47"/>
      <c r="U6" s="47"/>
    </row>
    <row r="7" customFormat="false" ht="15" hidden="false" customHeight="true" outlineLevel="0" collapsed="false">
      <c r="A7" s="51" t="s">
        <v>615</v>
      </c>
      <c r="B7" s="66" t="n">
        <f aca="false">'Income Statement'!B9</f>
        <v>0.218507523041658</v>
      </c>
      <c r="C7" s="66" t="n">
        <f aca="false">'Income Statement'!C9</f>
        <v>0.257505714896906</v>
      </c>
      <c r="D7" s="66" t="n">
        <f aca="false">'Income Statement'!D9</f>
        <v>0.229931181912957</v>
      </c>
      <c r="E7" s="66" t="n">
        <f aca="false">'Income Statement'!E9</f>
        <v>0.220323741007194</v>
      </c>
      <c r="F7" s="130" t="n">
        <f aca="false">'Income Statement'!F9</f>
        <v>0.230930376659673</v>
      </c>
      <c r="G7" s="66" t="n">
        <f aca="false">'Income Statement'!G9</f>
        <v>0.201717120263683</v>
      </c>
      <c r="H7" s="66" t="n">
        <f aca="false">'Income Statement'!H9</f>
        <v>0.225</v>
      </c>
      <c r="I7" s="66" t="n">
        <f aca="false">'Income Statement'!I9</f>
        <v>0.228</v>
      </c>
      <c r="J7" s="66" t="n">
        <f aca="false">'Income Statement'!J9</f>
        <v>0.23</v>
      </c>
      <c r="K7" s="130" t="n">
        <f aca="false">'Income Statement'!K9</f>
        <v>0.220739704038013</v>
      </c>
      <c r="L7" s="66" t="n">
        <f aca="false">'Income Statement'!L9</f>
        <v>0.225</v>
      </c>
      <c r="M7" s="66" t="n">
        <f aca="false">'Income Statement'!M9</f>
        <v>0.225</v>
      </c>
      <c r="N7" s="66" t="n">
        <f aca="false">'Income Statement'!N9</f>
        <v>0.225</v>
      </c>
      <c r="O7" s="66" t="n">
        <f aca="false">'Income Statement'!O9</f>
        <v>0.225</v>
      </c>
      <c r="P7" s="130" t="n">
        <f aca="false">'Income Statement'!P9</f>
        <v>0.225</v>
      </c>
      <c r="Q7" s="66" t="n">
        <f aca="false">'Income Statement'!Q9</f>
        <v>0.225</v>
      </c>
      <c r="R7" s="66" t="n">
        <f aca="false">'Income Statement'!R9</f>
        <v>0.225</v>
      </c>
      <c r="S7" s="66" t="n">
        <f aca="false">'Income Statement'!S9</f>
        <v>0.225</v>
      </c>
      <c r="T7" s="66" t="n">
        <f aca="false">'Income Statement'!T9</f>
        <v>0.225</v>
      </c>
      <c r="U7" s="130" t="n">
        <f aca="false">'Income Statement'!U9</f>
        <v>0.225</v>
      </c>
    </row>
    <row r="8" customFormat="false" ht="15" hidden="false" customHeight="true" outlineLevel="0" collapsed="false">
      <c r="A8" s="51" t="s">
        <v>616</v>
      </c>
      <c r="B8" s="66" t="n">
        <f aca="false">'Income Statement'!B19</f>
        <v>-0.0108857038354677</v>
      </c>
      <c r="C8" s="66" t="n">
        <f aca="false">'Income Statement'!C19</f>
        <v>0.0224110627779484</v>
      </c>
      <c r="D8" s="66" t="n">
        <f aca="false">'Income Statement'!D19</f>
        <v>-0.0030494799113876</v>
      </c>
      <c r="E8" s="66" t="n">
        <f aca="false">'Income Statement'!E19</f>
        <v>0.0528802607913669</v>
      </c>
      <c r="F8" s="130" t="n">
        <f aca="false">'Income Statement'!F19</f>
        <v>0.0154494113756828</v>
      </c>
      <c r="G8" s="66" t="n">
        <f aca="false">'Income Statement'!G19</f>
        <v>0.00886334663432206</v>
      </c>
      <c r="H8" s="66" t="n">
        <f aca="false">'Income Statement'!H19</f>
        <v>0.036</v>
      </c>
      <c r="I8" s="66" t="n">
        <f aca="false">'Income Statement'!I19</f>
        <v>0.039</v>
      </c>
      <c r="J8" s="66" t="n">
        <f aca="false">'Income Statement'!J19</f>
        <v>0.041</v>
      </c>
      <c r="K8" s="130" t="n">
        <f aca="false">'Income Statement'!K19</f>
        <v>0.0307042967300326</v>
      </c>
      <c r="L8" s="66" t="n">
        <f aca="false">'Income Statement'!L19</f>
        <v>0.036</v>
      </c>
      <c r="M8" s="66" t="n">
        <f aca="false">'Income Statement'!M19</f>
        <v>0.036</v>
      </c>
      <c r="N8" s="66" t="n">
        <f aca="false">'Income Statement'!N19</f>
        <v>0.036</v>
      </c>
      <c r="O8" s="66" t="n">
        <f aca="false">'Income Statement'!O19</f>
        <v>0.036</v>
      </c>
      <c r="P8" s="130" t="n">
        <f aca="false">'Income Statement'!P19</f>
        <v>0.036</v>
      </c>
      <c r="Q8" s="66" t="n">
        <f aca="false">'Income Statement'!Q19</f>
        <v>0.036</v>
      </c>
      <c r="R8" s="66" t="n">
        <f aca="false">'Income Statement'!R19</f>
        <v>0.036</v>
      </c>
      <c r="S8" s="66" t="n">
        <f aca="false">'Income Statement'!S19</f>
        <v>0.036</v>
      </c>
      <c r="T8" s="66" t="n">
        <f aca="false">'Income Statement'!T19</f>
        <v>0.036</v>
      </c>
      <c r="U8" s="130" t="n">
        <f aca="false">'Income Statement'!U19</f>
        <v>0.036</v>
      </c>
    </row>
    <row r="9" customFormat="false" ht="15" hidden="false" customHeight="true" outlineLevel="0" collapsed="false">
      <c r="A9" s="51" t="s">
        <v>617</v>
      </c>
      <c r="B9" s="66" t="n">
        <f aca="false">'Income Statement'!B25</f>
        <v>-0.0106760628014385</v>
      </c>
      <c r="C9" s="66" t="n">
        <f aca="false">'Income Statement'!C25</f>
        <v>-0.0183683274226378</v>
      </c>
      <c r="D9" s="66" t="n">
        <f aca="false">'Income Statement'!D25</f>
        <v>-0.0188854443412198</v>
      </c>
      <c r="E9" s="66" t="n">
        <f aca="false">'Income Statement'!E25</f>
        <v>-0.0674460431654676</v>
      </c>
      <c r="F9" s="130" t="n">
        <f aca="false">'Income Statement'!F25</f>
        <v>-0.0292962767594422</v>
      </c>
      <c r="G9" s="66" t="n">
        <f aca="false">'Income Statement'!G25</f>
        <v>0.00750685940220316</v>
      </c>
      <c r="H9" s="66" t="n">
        <f aca="false">'Income Statement'!H25</f>
        <v>0.0295372710250525</v>
      </c>
      <c r="I9" s="66" t="n">
        <f aca="false">'Income Statement'!I25</f>
        <v>0.0313875761282112</v>
      </c>
      <c r="J9" s="66" t="n">
        <f aca="false">'Income Statement'!J25</f>
        <v>0.0327386558802061</v>
      </c>
      <c r="K9" s="130" t="n">
        <f aca="false">'Income Statement'!K25</f>
        <v>0.0248783039876224</v>
      </c>
      <c r="L9" s="66" t="n">
        <f aca="false">'Income Statement'!L25</f>
        <v>0.028686887511156</v>
      </c>
      <c r="M9" s="66" t="n">
        <f aca="false">'Income Statement'!M25</f>
        <v>0.0292159916898634</v>
      </c>
      <c r="N9" s="66" t="n">
        <f aca="false">'Income Statement'!N25</f>
        <v>0.0289847927113066</v>
      </c>
      <c r="O9" s="66" t="n">
        <f aca="false">'Income Statement'!O25</f>
        <v>0.028939496185376</v>
      </c>
      <c r="P9" s="130" t="n">
        <f aca="false">'Income Statement'!P25</f>
        <v>0.0289473387473003</v>
      </c>
      <c r="Q9" s="66" t="n">
        <f aca="false">'Income Statement'!Q25</f>
        <v>0.0284285995473667</v>
      </c>
      <c r="R9" s="66" t="n">
        <f aca="false">'Income Statement'!R25</f>
        <v>0.0289185108239476</v>
      </c>
      <c r="S9" s="66" t="n">
        <f aca="false">'Income Statement'!S25</f>
        <v>0.0287044376956543</v>
      </c>
      <c r="T9" s="66" t="n">
        <f aca="false">'Income Statement'!T25</f>
        <v>0.0286624964679408</v>
      </c>
      <c r="U9" s="130" t="n">
        <f aca="false">'Income Statement'!U25</f>
        <v>0.0286697580993521</v>
      </c>
    </row>
    <row r="10" customFormat="false" ht="15" hidden="false" customHeight="true" outlineLevel="0" collapsed="false">
      <c r="A10" s="51" t="s">
        <v>618</v>
      </c>
      <c r="B10" s="66" t="n">
        <f aca="false">'Income Statement'!B33</f>
        <v>0.0302715473861888</v>
      </c>
      <c r="C10" s="66" t="n">
        <f aca="false">'Income Statement'!C33</f>
        <v>0.0674415948307173</v>
      </c>
      <c r="D10" s="66" t="n">
        <f aca="false">'Income Statement'!D33</f>
        <v>0.0362524517437946</v>
      </c>
      <c r="E10" s="66" t="n">
        <f aca="false">'Income Statement'!E33</f>
        <v>0.0829678507194245</v>
      </c>
      <c r="F10" s="130" t="n">
        <f aca="false">'Income Statement'!F33</f>
        <v>0.0541687878562142</v>
      </c>
      <c r="G10" s="66" t="n">
        <f aca="false">'Income Statement'!G33</f>
        <v>0.030658441352818</v>
      </c>
      <c r="H10" s="66" t="n">
        <f aca="false">'Income Statement'!H33</f>
        <v>0.06</v>
      </c>
      <c r="I10" s="66" t="n">
        <f aca="false">'Income Statement'!I33</f>
        <v>0.063</v>
      </c>
      <c r="J10" s="66" t="n">
        <f aca="false">'Income Statement'!J33</f>
        <v>0.065</v>
      </c>
      <c r="K10" s="130" t="n">
        <f aca="false">'Income Statement'!K33</f>
        <v>0.0541118968483995</v>
      </c>
      <c r="L10" s="66" t="n">
        <f aca="false">'Income Statement'!L33</f>
        <v>0.06</v>
      </c>
      <c r="M10" s="66" t="n">
        <f aca="false">'Income Statement'!M33</f>
        <v>0.06</v>
      </c>
      <c r="N10" s="66" t="n">
        <f aca="false">'Income Statement'!N33</f>
        <v>0.06</v>
      </c>
      <c r="O10" s="66" t="n">
        <f aca="false">'Income Statement'!O33</f>
        <v>0.06</v>
      </c>
      <c r="P10" s="130" t="n">
        <f aca="false">'Income Statement'!P33</f>
        <v>0.06</v>
      </c>
      <c r="Q10" s="66" t="n">
        <f aca="false">'Income Statement'!Q33</f>
        <v>0.06</v>
      </c>
      <c r="R10" s="66" t="n">
        <f aca="false">'Income Statement'!R33</f>
        <v>0.06</v>
      </c>
      <c r="S10" s="66" t="n">
        <f aca="false">'Income Statement'!S33</f>
        <v>0.06</v>
      </c>
      <c r="T10" s="66" t="n">
        <f aca="false">'Income Statement'!T33</f>
        <v>0.06</v>
      </c>
      <c r="U10" s="130" t="n">
        <f aca="false">'Income Statement'!U33</f>
        <v>0.06</v>
      </c>
    </row>
    <row r="11" customFormat="false" ht="15" hidden="false" customHeight="true" outlineLevel="0" collapsed="false">
      <c r="A11" s="51" t="s">
        <v>619</v>
      </c>
      <c r="B11" s="66" t="n">
        <f aca="false">'Income Statement'!B24*4/'Balance Sheet'!B25</f>
        <v>-0.00870957933618168</v>
      </c>
      <c r="C11" s="66" t="n">
        <f aca="false">'Income Statement'!C24*4/'Balance Sheet'!C25</f>
        <v>-0.0146970056510255</v>
      </c>
      <c r="D11" s="66" t="n">
        <f aca="false">'Income Statement'!D24*4/'Balance Sheet'!D25</f>
        <v>-0.0152964151766522</v>
      </c>
      <c r="E11" s="66" t="n">
        <f aca="false">'Income Statement'!E24*4/'Balance Sheet'!E25</f>
        <v>-0.0444806174004587</v>
      </c>
      <c r="F11" s="130" t="n">
        <f aca="false">'Income Statement'!F24/'Balance Sheet'!F25</f>
        <v>-0.0185456003502226</v>
      </c>
      <c r="G11" s="66" t="n">
        <f aca="false">'Income Statement'!G24*4/'Balance Sheet'!G25</f>
        <v>0.00636206599513613</v>
      </c>
      <c r="H11" s="66" t="n">
        <f aca="false">'Income Statement'!H24*4/'Balance Sheet'!H25</f>
        <v>0.0234376773766756</v>
      </c>
      <c r="I11" s="66" t="n">
        <f aca="false">'Income Statement'!I24*4/'Balance Sheet'!I25</f>
        <v>0.0250455185458811</v>
      </c>
      <c r="J11" s="66" t="n">
        <f aca="false">'Income Statement'!J24*4/'Balance Sheet'!J25</f>
        <v>0.0260051863214505</v>
      </c>
      <c r="K11" s="130" t="n">
        <f aca="false">'Income Statement'!K24/'Balance Sheet'!K25</f>
        <v>0.019720141902917</v>
      </c>
      <c r="L11" s="66" t="n">
        <f aca="false">'Income Statement'!L24*4/'Balance Sheet'!L25</f>
        <v>0.0233073874515377</v>
      </c>
      <c r="M11" s="66" t="n">
        <f aca="false">'Income Statement'!M24*4/'Balance Sheet'!M25</f>
        <v>0.0229129280625619</v>
      </c>
      <c r="N11" s="66" t="n">
        <f aca="false">'Income Statement'!N24*4/'Balance Sheet'!N25</f>
        <v>0.0228768922757055</v>
      </c>
      <c r="O11" s="66" t="n">
        <f aca="false">'Income Statement'!O24*4/'Balance Sheet'!O25</f>
        <v>0.0227523344434571</v>
      </c>
      <c r="P11" s="130" t="n">
        <f aca="false">'Income Statement'!P24/'Balance Sheet'!P25</f>
        <v>0.0227108705060297</v>
      </c>
      <c r="Q11" s="66" t="n">
        <f aca="false">'Income Statement'!Q24*4/'Balance Sheet'!Q25</f>
        <v>0.0228865352563339</v>
      </c>
      <c r="R11" s="66" t="n">
        <f aca="false">'Income Statement'!R24*4/'Balance Sheet'!R25</f>
        <v>0.0224456367736262</v>
      </c>
      <c r="S11" s="66" t="n">
        <f aca="false">'Income Statement'!S24*4/'Balance Sheet'!S25</f>
        <v>0.0224302290884874</v>
      </c>
      <c r="T11" s="66" t="n">
        <f aca="false">'Income Statement'!T24*4/'Balance Sheet'!T25</f>
        <v>0.0223104885571036</v>
      </c>
      <c r="U11" s="130" t="n">
        <f aca="false">'Income Statement'!U24/'Balance Sheet'!U25</f>
        <v>0.0222694369078123</v>
      </c>
    </row>
    <row r="12" customFormat="false" ht="15" hidden="false" customHeight="true" outlineLevel="0" collapsed="false">
      <c r="A12" s="51" t="s">
        <v>620</v>
      </c>
      <c r="B12" s="66" t="n">
        <f aca="false">'Income Statement'!B24*4/'Balance Sheet'!B48</f>
        <v>-0.0465770123107364</v>
      </c>
      <c r="C12" s="66" t="n">
        <f aca="false">'Income Statement'!C24*4/'Balance Sheet'!C48</f>
        <v>-0.0740243371790891</v>
      </c>
      <c r="D12" s="66" t="n">
        <f aca="false">'Income Statement'!D24*4/'Balance Sheet'!D48</f>
        <v>-0.0824215322544045</v>
      </c>
      <c r="E12" s="66" t="n">
        <f aca="false">'Income Statement'!E24*4/'Balance Sheet'!E48</f>
        <v>-0.334963432879441</v>
      </c>
      <c r="F12" s="130" t="n">
        <f aca="false">'Income Statement'!F24/'Balance Sheet'!F48</f>
        <v>-0.139658537159978</v>
      </c>
      <c r="G12" s="66" t="n">
        <f aca="false">'Income Statement'!G24*4/'Balance Sheet'!G48</f>
        <v>0.0421425048599025</v>
      </c>
      <c r="H12" s="66" t="n">
        <f aca="false">'Income Statement'!H24*4/'Balance Sheet'!H48</f>
        <v>0.137873846139452</v>
      </c>
      <c r="I12" s="66" t="n">
        <f aca="false">'Income Statement'!I24*4/'Balance Sheet'!I48</f>
        <v>0.148385627292437</v>
      </c>
      <c r="J12" s="66" t="n">
        <f aca="false">'Income Statement'!J24*4/'Balance Sheet'!J48</f>
        <v>0.14950710359353</v>
      </c>
      <c r="K12" s="130" t="n">
        <f aca="false">'Income Statement'!K24/'Balance Sheet'!K48</f>
        <v>0.113373588710903</v>
      </c>
      <c r="L12" s="66" t="n">
        <f aca="false">'Income Statement'!L24*4/'Balance Sheet'!L48</f>
        <v>0.144716983776175</v>
      </c>
      <c r="M12" s="66" t="n">
        <f aca="false">'Income Statement'!M24*4/'Balance Sheet'!M48</f>
        <v>0.123058215496264</v>
      </c>
      <c r="N12" s="66" t="n">
        <f aca="false">'Income Statement'!N24*4/'Balance Sheet'!N48</f>
        <v>0.124460911073389</v>
      </c>
      <c r="O12" s="66" t="n">
        <f aca="false">'Income Statement'!O24*4/'Balance Sheet'!O48</f>
        <v>0.120966744585328</v>
      </c>
      <c r="P12" s="130" t="n">
        <f aca="false">'Income Statement'!P24/'Balance Sheet'!P48</f>
        <v>0.120746294347979</v>
      </c>
      <c r="Q12" s="66" t="n">
        <f aca="false">'Income Statement'!Q24*4/'Balance Sheet'!Q48</f>
        <v>0.131768793618355</v>
      </c>
      <c r="R12" s="66" t="n">
        <f aca="false">'Income Statement'!R24*4/'Balance Sheet'!R48</f>
        <v>0.112250181996648</v>
      </c>
      <c r="S12" s="66" t="n">
        <f aca="false">'Income Statement'!S24*4/'Balance Sheet'!S48</f>
        <v>0.113924804230457</v>
      </c>
      <c r="T12" s="66" t="n">
        <f aca="false">'Income Statement'!T24*4/'Balance Sheet'!T48</f>
        <v>0.111045863248889</v>
      </c>
      <c r="U12" s="130" t="n">
        <f aca="false">'Income Statement'!U24/'Balance Sheet'!U48</f>
        <v>0.110841537116735</v>
      </c>
    </row>
    <row r="13" customFormat="false" ht="15" hidden="false" customHeight="true" outlineLevel="0" collapsed="false">
      <c r="A13" s="46" t="s">
        <v>621</v>
      </c>
      <c r="B13" s="47"/>
      <c r="C13" s="47"/>
      <c r="D13" s="47"/>
      <c r="E13" s="47"/>
      <c r="F13" s="47"/>
      <c r="G13" s="47"/>
      <c r="H13" s="47"/>
      <c r="I13" s="47"/>
      <c r="J13" s="47"/>
      <c r="K13" s="47"/>
      <c r="L13" s="47"/>
      <c r="M13" s="47"/>
      <c r="N13" s="47"/>
      <c r="O13" s="47"/>
      <c r="P13" s="47"/>
      <c r="Q13" s="47"/>
      <c r="R13" s="47"/>
      <c r="S13" s="47"/>
      <c r="T13" s="47"/>
      <c r="U13" s="47"/>
    </row>
    <row r="14" customFormat="false" ht="15" hidden="false" customHeight="true" outlineLevel="0" collapsed="false">
      <c r="A14" s="51" t="s">
        <v>622</v>
      </c>
      <c r="B14" s="131" t="n">
        <f aca="false">'Balance Sheet'!B16/'Balance Sheet'!B37</f>
        <v>1.09443861110208</v>
      </c>
      <c r="C14" s="131" t="n">
        <f aca="false">'Balance Sheet'!C16/'Balance Sheet'!C37</f>
        <v>1.10043849389245</v>
      </c>
      <c r="D14" s="131" t="n">
        <f aca="false">'Balance Sheet'!D16/'Balance Sheet'!D37</f>
        <v>1.09635033641815</v>
      </c>
      <c r="E14" s="131" t="n">
        <f aca="false">'Balance Sheet'!E16/'Balance Sheet'!E37</f>
        <v>1.08238707702108</v>
      </c>
      <c r="F14" s="132" t="n">
        <f aca="false">'Balance Sheet'!F16/'Balance Sheet'!F37</f>
        <v>1.08238707702108</v>
      </c>
      <c r="G14" s="131" t="n">
        <f aca="false">'Balance Sheet'!G16/'Balance Sheet'!G37</f>
        <v>1.09181018989068</v>
      </c>
      <c r="H14" s="131" t="n">
        <f aca="false">'Balance Sheet'!H16/'Balance Sheet'!H37</f>
        <v>1.11102894283105</v>
      </c>
      <c r="I14" s="131" t="n">
        <f aca="false">'Balance Sheet'!I16/'Balance Sheet'!I37</f>
        <v>1.11500689949687</v>
      </c>
      <c r="J14" s="131" t="n">
        <f aca="false">'Balance Sheet'!J16/'Balance Sheet'!J37</f>
        <v>1.12447093666827</v>
      </c>
      <c r="K14" s="132" t="n">
        <f aca="false">'Balance Sheet'!K16/'Balance Sheet'!K37</f>
        <v>1.12447093666827</v>
      </c>
      <c r="L14" s="131" t="n">
        <f aca="false">'Balance Sheet'!L16/'Balance Sheet'!L37</f>
        <v>1.11728235869595</v>
      </c>
      <c r="M14" s="131" t="n">
        <f aca="false">'Balance Sheet'!M16/'Balance Sheet'!M37</f>
        <v>1.14450456205846</v>
      </c>
      <c r="N14" s="131" t="n">
        <f aca="false">'Balance Sheet'!N16/'Balance Sheet'!N37</f>
        <v>1.14594106495746</v>
      </c>
      <c r="O14" s="131" t="n">
        <f aca="false">'Balance Sheet'!O16/'Balance Sheet'!O37</f>
        <v>1.15390516307658</v>
      </c>
      <c r="P14" s="132" t="n">
        <f aca="false">'Balance Sheet'!P16/'Balance Sheet'!P37</f>
        <v>1.15390516307658</v>
      </c>
      <c r="Q14" s="131" t="n">
        <f aca="false">'Balance Sheet'!Q16/'Balance Sheet'!Q37</f>
        <v>1.14282238464837</v>
      </c>
      <c r="R14" s="131" t="n">
        <f aca="false">'Balance Sheet'!R16/'Balance Sheet'!R37</f>
        <v>1.17400767796902</v>
      </c>
      <c r="S14" s="131" t="n">
        <f aca="false">'Balance Sheet'!S16/'Balance Sheet'!S37</f>
        <v>1.17384919025149</v>
      </c>
      <c r="T14" s="131" t="n">
        <f aca="false">'Balance Sheet'!T16/'Balance Sheet'!T37</f>
        <v>1.18157088425638</v>
      </c>
      <c r="U14" s="132" t="n">
        <f aca="false">'Balance Sheet'!U16/'Balance Sheet'!U37</f>
        <v>1.18157088425638</v>
      </c>
    </row>
    <row r="15" customFormat="false" ht="15" hidden="false" customHeight="true" outlineLevel="0" collapsed="false">
      <c r="A15" s="51" t="s">
        <v>623</v>
      </c>
      <c r="B15" s="131" t="n">
        <f aca="false">('Balance Sheet'!B8+'Balance Sheet'!B9)/'Balance Sheet'!B37</f>
        <v>0.137083827183836</v>
      </c>
      <c r="C15" s="131" t="n">
        <f aca="false">('Balance Sheet'!C8+'Balance Sheet'!C9)/'Balance Sheet'!C37</f>
        <v>0.14498191799165</v>
      </c>
      <c r="D15" s="131" t="n">
        <f aca="false">('Balance Sheet'!D8+'Balance Sheet'!D9)/'Balance Sheet'!D37</f>
        <v>0.139784566466164</v>
      </c>
      <c r="E15" s="131" t="n">
        <f aca="false">('Balance Sheet'!E8+'Balance Sheet'!E9)/'Balance Sheet'!E37</f>
        <v>0.111462535927829</v>
      </c>
      <c r="F15" s="132" t="n">
        <f aca="false">('Balance Sheet'!F8+'Balance Sheet'!F9)/'Balance Sheet'!F37</f>
        <v>0.111462535927829</v>
      </c>
      <c r="G15" s="131" t="n">
        <f aca="false">('Balance Sheet'!G8+'Balance Sheet'!G9)/'Balance Sheet'!G37</f>
        <v>0.133790948523929</v>
      </c>
      <c r="H15" s="131" t="n">
        <f aca="false">('Balance Sheet'!H8+'Balance Sheet'!H9)/'Balance Sheet'!H37</f>
        <v>0.151855420939883</v>
      </c>
      <c r="I15" s="131" t="n">
        <f aca="false">('Balance Sheet'!I8+'Balance Sheet'!I9)/'Balance Sheet'!I37</f>
        <v>0.156515414800596</v>
      </c>
      <c r="J15" s="131" t="n">
        <f aca="false">('Balance Sheet'!J8+'Balance Sheet'!J9)/'Balance Sheet'!J37</f>
        <v>0.166028542245941</v>
      </c>
      <c r="K15" s="132" t="n">
        <f aca="false">('Balance Sheet'!K8+'Balance Sheet'!K9)/'Balance Sheet'!K37</f>
        <v>0.166028542245941</v>
      </c>
      <c r="L15" s="131" t="n">
        <f aca="false">('Balance Sheet'!L8+'Balance Sheet'!L9)/'Balance Sheet'!L37</f>
        <v>0.160690497182072</v>
      </c>
      <c r="M15" s="131" t="n">
        <f aca="false">('Balance Sheet'!M8+'Balance Sheet'!M9)/'Balance Sheet'!M37</f>
        <v>0.186082643111494</v>
      </c>
      <c r="N15" s="131" t="n">
        <f aca="false">('Balance Sheet'!N8+'Balance Sheet'!N9)/'Balance Sheet'!N37</f>
        <v>0.188222790546542</v>
      </c>
      <c r="O15" s="131" t="n">
        <f aca="false">('Balance Sheet'!O8+'Balance Sheet'!O9)/'Balance Sheet'!O37</f>
        <v>0.196272616319237</v>
      </c>
      <c r="P15" s="132" t="n">
        <f aca="false">('Balance Sheet'!P8+'Balance Sheet'!P9)/'Balance Sheet'!P37</f>
        <v>0.196272616319237</v>
      </c>
      <c r="Q15" s="131" t="n">
        <f aca="false">('Balance Sheet'!Q8+'Balance Sheet'!Q9)/'Balance Sheet'!Q37</f>
        <v>0.186860081227473</v>
      </c>
      <c r="R15" s="131" t="n">
        <f aca="false">('Balance Sheet'!R8+'Balance Sheet'!R9)/'Balance Sheet'!R37</f>
        <v>0.216315970719988</v>
      </c>
      <c r="S15" s="131" t="n">
        <f aca="false">('Balance Sheet'!S8+'Balance Sheet'!S9)/'Balance Sheet'!S37</f>
        <v>0.216827758812527</v>
      </c>
      <c r="T15" s="131" t="n">
        <f aca="false">('Balance Sheet'!T8+'Balance Sheet'!T9)/'Balance Sheet'!T37</f>
        <v>0.22463438966524</v>
      </c>
      <c r="U15" s="132" t="n">
        <f aca="false">('Balance Sheet'!U8+'Balance Sheet'!U9)/'Balance Sheet'!U37</f>
        <v>0.22463438966524</v>
      </c>
    </row>
    <row r="16" customFormat="false" ht="15" hidden="false" customHeight="true" outlineLevel="0" collapsed="false">
      <c r="A16" s="51" t="s">
        <v>624</v>
      </c>
      <c r="B16" s="131" t="n">
        <f aca="false">'Balance Sheet'!B8/'Balance Sheet'!B37</f>
        <v>0.0849312690278903</v>
      </c>
      <c r="C16" s="131" t="n">
        <f aca="false">'Balance Sheet'!C8/'Balance Sheet'!C37</f>
        <v>0.0930477999858085</v>
      </c>
      <c r="D16" s="131" t="n">
        <f aca="false">'Balance Sheet'!D8/'Balance Sheet'!D37</f>
        <v>0.0877189685476802</v>
      </c>
      <c r="E16" s="131" t="n">
        <f aca="false">'Balance Sheet'!E8/'Balance Sheet'!E37</f>
        <v>0.0652011837836594</v>
      </c>
      <c r="F16" s="132" t="n">
        <f aca="false">'Balance Sheet'!F8/'Balance Sheet'!F37</f>
        <v>0.0652011837836594</v>
      </c>
      <c r="G16" s="131" t="n">
        <f aca="false">'Balance Sheet'!G8/'Balance Sheet'!G37</f>
        <v>0.0786496979487576</v>
      </c>
      <c r="H16" s="131" t="n">
        <f aca="false">'Balance Sheet'!H8/'Balance Sheet'!H37</f>
        <v>0.099890209149284</v>
      </c>
      <c r="I16" s="131" t="n">
        <f aca="false">'Balance Sheet'!I8/'Balance Sheet'!I37</f>
        <v>0.104506457997455</v>
      </c>
      <c r="J16" s="131" t="n">
        <f aca="false">'Balance Sheet'!J8/'Balance Sheet'!J37</f>
        <v>0.114006410636549</v>
      </c>
      <c r="K16" s="132" t="n">
        <f aca="false">'Balance Sheet'!K8/'Balance Sheet'!K37</f>
        <v>0.114006410636549</v>
      </c>
      <c r="L16" s="131" t="n">
        <f aca="false">'Balance Sheet'!L8/'Balance Sheet'!L37</f>
        <v>0.108589842764106</v>
      </c>
      <c r="M16" s="131" t="n">
        <f aca="false">'Balance Sheet'!M8/'Balance Sheet'!M37</f>
        <v>0.13405428195336</v>
      </c>
      <c r="N16" s="131" t="n">
        <f aca="false">'Balance Sheet'!N8/'Balance Sheet'!N37</f>
        <v>0.136157678419716</v>
      </c>
      <c r="O16" s="131" t="n">
        <f aca="false">'Balance Sheet'!O8/'Balance Sheet'!O37</f>
        <v>0.144197456717137</v>
      </c>
      <c r="P16" s="132" t="n">
        <f aca="false">'Balance Sheet'!P8/'Balance Sheet'!P37</f>
        <v>0.144197456717137</v>
      </c>
      <c r="Q16" s="131" t="n">
        <f aca="false">'Balance Sheet'!Q8/'Balance Sheet'!Q37</f>
        <v>0.134709570909411</v>
      </c>
      <c r="R16" s="131" t="n">
        <f aca="false">'Balance Sheet'!R8/'Balance Sheet'!R37</f>
        <v>0.164230776763629</v>
      </c>
      <c r="S16" s="131" t="n">
        <f aca="false">'Balance Sheet'!S8/'Balance Sheet'!S37</f>
        <v>0.164709421871023</v>
      </c>
      <c r="T16" s="131" t="n">
        <f aca="false">'Balance Sheet'!T8/'Balance Sheet'!T37</f>
        <v>0.172507022295771</v>
      </c>
      <c r="U16" s="132" t="n">
        <f aca="false">'Balance Sheet'!U8/'Balance Sheet'!U37</f>
        <v>0.172507022295771</v>
      </c>
    </row>
    <row r="17" customFormat="false" ht="15" hidden="false" customHeight="true" outlineLevel="0" collapsed="false">
      <c r="A17" s="51" t="s">
        <v>625</v>
      </c>
      <c r="B17" s="45" t="n">
        <f aca="false">'Balance Sheet'!B16-'Balance Sheet'!B37</f>
        <v>8321.22913461539</v>
      </c>
      <c r="C17" s="45" t="n">
        <f aca="false">'Balance Sheet'!C16-'Balance Sheet'!C37</f>
        <v>8060.12388461537</v>
      </c>
      <c r="D17" s="45" t="n">
        <f aca="false">'Balance Sheet'!D16-'Balance Sheet'!D37</f>
        <v>8183.65604120877</v>
      </c>
      <c r="E17" s="45" t="n">
        <f aca="false">'Balance Sheet'!E16-'Balance Sheet'!E37</f>
        <v>9393.53700000001</v>
      </c>
      <c r="F17" s="44" t="n">
        <f aca="false">'Balance Sheet'!F16-'Balance Sheet'!F37</f>
        <v>9393.53700000001</v>
      </c>
      <c r="G17" s="45" t="n">
        <f aca="false">'Balance Sheet'!G16-'Balance Sheet'!G37</f>
        <v>9022.05800000001</v>
      </c>
      <c r="H17" s="45" t="n">
        <f aca="false">'Balance Sheet'!H16-'Balance Sheet'!H37</f>
        <v>9863.65237202235</v>
      </c>
      <c r="I17" s="45" t="n">
        <f aca="false">'Balance Sheet'!I16-'Balance Sheet'!I37</f>
        <v>10832.0514511018</v>
      </c>
      <c r="J17" s="45" t="n">
        <f aca="false">'Balance Sheet'!J16-'Balance Sheet'!J37</f>
        <v>11862.4332052482</v>
      </c>
      <c r="K17" s="44" t="n">
        <f aca="false">'Balance Sheet'!K16-'Balance Sheet'!K37</f>
        <v>11862.4332052482</v>
      </c>
      <c r="L17" s="45" t="n">
        <f aca="false">'Balance Sheet'!L16-'Balance Sheet'!L37</f>
        <v>12926.5429050801</v>
      </c>
      <c r="M17" s="45" t="n">
        <f aca="false">'Balance Sheet'!M16-'Balance Sheet'!M37</f>
        <v>13847.7566254709</v>
      </c>
      <c r="N17" s="45" t="n">
        <f aca="false">'Balance Sheet'!N16-'Balance Sheet'!N37</f>
        <v>14829.2579669291</v>
      </c>
      <c r="O17" s="45" t="n">
        <f aca="false">'Balance Sheet'!O16-'Balance Sheet'!O37</f>
        <v>15824.8754655564</v>
      </c>
      <c r="P17" s="44" t="n">
        <f aca="false">'Balance Sheet'!P16-'Balance Sheet'!P37</f>
        <v>15824.8754655564</v>
      </c>
      <c r="Q17" s="45" t="n">
        <f aca="false">'Balance Sheet'!Q16-'Balance Sheet'!Q37</f>
        <v>16984.5620009057</v>
      </c>
      <c r="R17" s="45" t="n">
        <f aca="false">'Balance Sheet'!R16-'Balance Sheet'!R37</f>
        <v>17989.3674073413</v>
      </c>
      <c r="S17" s="45" t="n">
        <f aca="false">'Balance Sheet'!S16-'Balance Sheet'!S37</f>
        <v>19058.7579976498</v>
      </c>
      <c r="T17" s="45" t="n">
        <f aca="false">'Balance Sheet'!T16-'Balance Sheet'!T37</f>
        <v>20142.8952103396</v>
      </c>
      <c r="U17" s="44" t="n">
        <f aca="false">'Balance Sheet'!U16-'Balance Sheet'!U37</f>
        <v>20142.8952103396</v>
      </c>
    </row>
    <row r="18" customFormat="false" ht="15" hidden="false" customHeight="true" outlineLevel="0" collapsed="false">
      <c r="A18" s="46" t="s">
        <v>626</v>
      </c>
      <c r="B18" s="47"/>
      <c r="C18" s="47"/>
      <c r="D18" s="47"/>
      <c r="E18" s="47"/>
      <c r="F18" s="47"/>
      <c r="G18" s="47"/>
      <c r="H18" s="47"/>
      <c r="I18" s="47"/>
      <c r="J18" s="47"/>
      <c r="K18" s="47"/>
      <c r="L18" s="47"/>
      <c r="M18" s="47"/>
      <c r="N18" s="47"/>
      <c r="O18" s="47"/>
      <c r="P18" s="47"/>
      <c r="Q18" s="47"/>
      <c r="R18" s="47"/>
      <c r="S18" s="47"/>
      <c r="T18" s="47"/>
      <c r="U18" s="47"/>
    </row>
    <row r="19" customFormat="false" ht="15" hidden="false" customHeight="true" outlineLevel="0" collapsed="false">
      <c r="A19" s="51" t="s">
        <v>627</v>
      </c>
      <c r="B19" s="131" t="n">
        <f aca="false">'Balance Sheet'!B43/'Balance Sheet'!B25</f>
        <v>0.843948009741904</v>
      </c>
      <c r="C19" s="131" t="n">
        <f aca="false">'Balance Sheet'!C43/'Balance Sheet'!C25</f>
        <v>0.833859601784749</v>
      </c>
      <c r="D19" s="131" t="n">
        <f aca="false">'Balance Sheet'!D43/'Balance Sheet'!D25</f>
        <v>0.840319555225304</v>
      </c>
      <c r="E19" s="131" t="n">
        <f aca="false">'Balance Sheet'!E43/'Balance Sheet'!E25</f>
        <v>0.867207542572362</v>
      </c>
      <c r="F19" s="132" t="n">
        <f aca="false">'Balance Sheet'!F43/'Balance Sheet'!F25</f>
        <v>0.867207542572362</v>
      </c>
      <c r="G19" s="131" t="n">
        <f aca="false">'Balance Sheet'!G43/'Balance Sheet'!G25</f>
        <v>0.849034460189634</v>
      </c>
      <c r="H19" s="131" t="n">
        <f aca="false">'Balance Sheet'!H43/'Balance Sheet'!H25</f>
        <v>0.830006357021697</v>
      </c>
      <c r="I19" s="131" t="n">
        <f aca="false">'Balance Sheet'!I43/'Balance Sheet'!I25</f>
        <v>0.831213312213038</v>
      </c>
      <c r="J19" s="131" t="n">
        <f aca="false">'Balance Sheet'!J43/'Balance Sheet'!J25</f>
        <v>0.826060530259808</v>
      </c>
      <c r="K19" s="132" t="n">
        <f aca="false">'Balance Sheet'!K43/'Balance Sheet'!K25</f>
        <v>0.826060530259808</v>
      </c>
      <c r="L19" s="131" t="n">
        <f aca="false">'Balance Sheet'!L43/'Balance Sheet'!L25</f>
        <v>0.83894504402064</v>
      </c>
      <c r="M19" s="131" t="n">
        <f aca="false">'Balance Sheet'!M43/'Balance Sheet'!M25</f>
        <v>0.813804157892591</v>
      </c>
      <c r="N19" s="131" t="n">
        <f aca="false">'Balance Sheet'!N43/'Balance Sheet'!N25</f>
        <v>0.816192151588735</v>
      </c>
      <c r="O19" s="131" t="n">
        <f aca="false">'Balance Sheet'!O43/'Balance Sheet'!O25</f>
        <v>0.811912484530754</v>
      </c>
      <c r="P19" s="132" t="n">
        <f aca="false">'Balance Sheet'!P43/'Balance Sheet'!P25</f>
        <v>0.811912484530754</v>
      </c>
      <c r="Q19" s="131" t="n">
        <f aca="false">'Balance Sheet'!Q43/'Balance Sheet'!Q25</f>
        <v>0.826312933222865</v>
      </c>
      <c r="R19" s="131" t="n">
        <f aca="false">'Balance Sheet'!R43/'Balance Sheet'!R25</f>
        <v>0.800039194820224</v>
      </c>
      <c r="S19" s="131" t="n">
        <f aca="false">'Balance Sheet'!S43/'Balance Sheet'!S25</f>
        <v>0.80311373594188</v>
      </c>
      <c r="T19" s="131" t="n">
        <f aca="false">'Balance Sheet'!T43/'Balance Sheet'!T25</f>
        <v>0.799087621057088</v>
      </c>
      <c r="U19" s="132" t="n">
        <f aca="false">'Balance Sheet'!U43/'Balance Sheet'!U25</f>
        <v>0.799087621057088</v>
      </c>
    </row>
    <row r="20" customFormat="false" ht="15" hidden="false" customHeight="true" outlineLevel="0" collapsed="false">
      <c r="A20" s="51" t="s">
        <v>628</v>
      </c>
      <c r="B20" s="131" t="n">
        <f aca="false">('Balance Sheet'!B32+'Balance Sheet'!B40)/'Balance Sheet'!B48</f>
        <v>0.0675962345705718</v>
      </c>
      <c r="C20" s="131" t="n">
        <f aca="false">('Balance Sheet'!C32+'Balance Sheet'!C40)/'Balance Sheet'!C48</f>
        <v>0.068847176185544</v>
      </c>
      <c r="D20" s="131" t="n">
        <f aca="false">('Balance Sheet'!D32+'Balance Sheet'!D40)/'Balance Sheet'!D48</f>
        <v>0.0702657986236943</v>
      </c>
      <c r="E20" s="131" t="n">
        <f aca="false">('Balance Sheet'!E32+'Balance Sheet'!E40)/'Balance Sheet'!E48</f>
        <v>0.0761499169039464</v>
      </c>
      <c r="F20" s="132" t="n">
        <f aca="false">('Balance Sheet'!F32+'Balance Sheet'!F40)/'Balance Sheet'!F48</f>
        <v>0.0761499169039464</v>
      </c>
      <c r="G20" s="131" t="n">
        <f aca="false">('Balance Sheet'!G32+'Balance Sheet'!G40)/'Balance Sheet'!G48</f>
        <v>0.0730529898989309</v>
      </c>
      <c r="H20" s="131" t="n">
        <f aca="false">('Balance Sheet'!H32+'Balance Sheet'!H40)/'Balance Sheet'!H48</f>
        <v>0.0673515934560678</v>
      </c>
      <c r="I20" s="131" t="n">
        <f aca="false">('Balance Sheet'!I32+'Balance Sheet'!I40)/'Balance Sheet'!I48</f>
        <v>0.061922365158387</v>
      </c>
      <c r="J20" s="131" t="n">
        <f aca="false">('Balance Sheet'!J32+'Balance Sheet'!J40)/'Balance Sheet'!J48</f>
        <v>0.0569561843672168</v>
      </c>
      <c r="K20" s="132" t="n">
        <f aca="false">('Balance Sheet'!K32+'Balance Sheet'!K40)/'Balance Sheet'!K48</f>
        <v>0.0569561843672168</v>
      </c>
      <c r="L20" s="131" t="n">
        <f aca="false">('Balance Sheet'!L32+'Balance Sheet'!L40)/'Balance Sheet'!L48</f>
        <v>0.0523799754185001</v>
      </c>
      <c r="M20" s="131" t="n">
        <f aca="false">('Balance Sheet'!M32+'Balance Sheet'!M40)/'Balance Sheet'!M48</f>
        <v>0.0485959587826047</v>
      </c>
      <c r="N20" s="131" t="n">
        <f aca="false">('Balance Sheet'!N32+'Balance Sheet'!N40)/'Balance Sheet'!N48</f>
        <v>0.0450703675589865</v>
      </c>
      <c r="O20" s="131" t="n">
        <f aca="false">('Balance Sheet'!O32+'Balance Sheet'!O40)/'Balance Sheet'!O48</f>
        <v>0.0418688180263388</v>
      </c>
      <c r="P20" s="132" t="n">
        <f aca="false">('Balance Sheet'!P32+'Balance Sheet'!P40)/'Balance Sheet'!P48</f>
        <v>0.0418688180263388</v>
      </c>
      <c r="Q20" s="131" t="n">
        <f aca="false">('Balance Sheet'!Q32+'Balance Sheet'!Q40)/'Balance Sheet'!Q48</f>
        <v>0.0387384514278959</v>
      </c>
      <c r="R20" s="131" t="n">
        <f aca="false">('Balance Sheet'!R32+'Balance Sheet'!R40)/'Balance Sheet'!R48</f>
        <v>0.0361306603373661</v>
      </c>
      <c r="S20" s="131" t="n">
        <f aca="false">('Balance Sheet'!S32+'Balance Sheet'!S40)/'Balance Sheet'!S48</f>
        <v>0.0336874786788845</v>
      </c>
      <c r="T20" s="131" t="n">
        <f aca="false">('Balance Sheet'!T32+'Balance Sheet'!T40)/'Balance Sheet'!T48</f>
        <v>0.031456334029258</v>
      </c>
      <c r="U20" s="132" t="n">
        <f aca="false">('Balance Sheet'!U32+'Balance Sheet'!U40)/'Balance Sheet'!U48</f>
        <v>0.031456334029258</v>
      </c>
    </row>
    <row r="21" customFormat="false" ht="15" hidden="false" customHeight="true" outlineLevel="0" collapsed="false">
      <c r="A21" s="46" t="s">
        <v>629</v>
      </c>
      <c r="B21" s="47"/>
      <c r="C21" s="47"/>
      <c r="D21" s="47"/>
      <c r="E21" s="47"/>
      <c r="F21" s="47"/>
      <c r="G21" s="47"/>
      <c r="H21" s="47"/>
      <c r="I21" s="47"/>
      <c r="J21" s="47"/>
      <c r="K21" s="47"/>
      <c r="L21" s="47"/>
      <c r="M21" s="47"/>
      <c r="N21" s="47"/>
      <c r="O21" s="47"/>
      <c r="P21" s="47"/>
      <c r="Q21" s="47"/>
      <c r="R21" s="47"/>
      <c r="S21" s="47"/>
      <c r="T21" s="47"/>
      <c r="U21" s="47"/>
    </row>
    <row r="22" customFormat="false" ht="15" hidden="false" customHeight="true" outlineLevel="0" collapsed="false">
      <c r="A22" s="51" t="s">
        <v>630</v>
      </c>
      <c r="B22" s="133" t="n">
        <f aca="false">'Balance Sheet'!B9/'Income Statement'!B6*91</f>
        <v>19</v>
      </c>
      <c r="C22" s="133" t="n">
        <f aca="false">'Balance Sheet'!C9/'Income Statement'!C6*91</f>
        <v>19</v>
      </c>
      <c r="D22" s="133" t="n">
        <f aca="false">'Balance Sheet'!D9/'Income Statement'!D6*91</f>
        <v>19</v>
      </c>
      <c r="E22" s="133" t="n">
        <f aca="false">'Balance Sheet'!E9/'Income Statement'!E6*91</f>
        <v>21.5821639388489</v>
      </c>
      <c r="F22" s="134" t="n">
        <f aca="false">'Balance Sheet'!F9/'Income Statement'!F6*91</f>
        <v>5.62109414840008</v>
      </c>
      <c r="G22" s="133" t="n">
        <f aca="false">'Balance Sheet'!G9/'Income Statement'!G6*91</f>
        <v>19.3631414569892</v>
      </c>
      <c r="H22" s="133" t="n">
        <f aca="false">'Balance Sheet'!H9/'Income Statement'!H6*91</f>
        <v>19</v>
      </c>
      <c r="I22" s="133" t="n">
        <f aca="false">'Balance Sheet'!I9/'Income Statement'!I6*91</f>
        <v>19</v>
      </c>
      <c r="J22" s="133" t="n">
        <f aca="false">'Balance Sheet'!J9/'Income Statement'!J6*91</f>
        <v>19</v>
      </c>
      <c r="K22" s="134" t="n">
        <f aca="false">'Balance Sheet'!K9/'Income Statement'!K6*91</f>
        <v>4.75996181498616</v>
      </c>
      <c r="L22" s="133" t="n">
        <f aca="false">'Balance Sheet'!L9/'Income Statement'!L6*91</f>
        <v>19</v>
      </c>
      <c r="M22" s="133" t="n">
        <f aca="false">'Balance Sheet'!M9/'Income Statement'!M6*91</f>
        <v>19</v>
      </c>
      <c r="N22" s="133" t="n">
        <f aca="false">'Balance Sheet'!N9/'Income Statement'!N6*91</f>
        <v>19</v>
      </c>
      <c r="O22" s="133" t="n">
        <f aca="false">'Balance Sheet'!O9/'Income Statement'!O6*91</f>
        <v>19</v>
      </c>
      <c r="P22" s="134" t="n">
        <f aca="false">'Balance Sheet'!P9/'Income Statement'!P6*91</f>
        <v>4.75996181498616</v>
      </c>
      <c r="Q22" s="133" t="n">
        <f aca="false">'Balance Sheet'!Q9/'Income Statement'!Q6*91</f>
        <v>19</v>
      </c>
      <c r="R22" s="133" t="n">
        <f aca="false">'Balance Sheet'!R9/'Income Statement'!R6*91</f>
        <v>19</v>
      </c>
      <c r="S22" s="133" t="n">
        <f aca="false">'Balance Sheet'!S9/'Income Statement'!S6*91</f>
        <v>19</v>
      </c>
      <c r="T22" s="133" t="n">
        <f aca="false">'Balance Sheet'!T9/'Income Statement'!T6*91</f>
        <v>19</v>
      </c>
      <c r="U22" s="134" t="n">
        <f aca="false">'Balance Sheet'!U9/'Income Statement'!U6*91</f>
        <v>4.75996181498616</v>
      </c>
    </row>
    <row r="23" customFormat="false" ht="15" hidden="false" customHeight="true" outlineLevel="0" collapsed="false">
      <c r="A23" s="51" t="s">
        <v>631</v>
      </c>
      <c r="B23" s="133" t="n">
        <f aca="false">'Balance Sheet'!B29/'Income Statement'!B10*91</f>
        <v>7</v>
      </c>
      <c r="C23" s="133" t="n">
        <f aca="false">'Balance Sheet'!C29/'Income Statement'!C10*91</f>
        <v>7</v>
      </c>
      <c r="D23" s="133" t="n">
        <f aca="false">'Balance Sheet'!D29/'Income Statement'!D10*91</f>
        <v>7</v>
      </c>
      <c r="E23" s="133" t="n">
        <f aca="false">'Balance Sheet'!E29/'Income Statement'!E10*91</f>
        <v>4.62132006920415</v>
      </c>
      <c r="F23" s="134" t="n">
        <f aca="false">'Balance Sheet'!F29/'Income Statement'!F10*91</f>
        <v>1.22022683875362</v>
      </c>
      <c r="G23" s="133" t="n">
        <f aca="false">'Balance Sheet'!G29/'Income Statement'!G10*91</f>
        <v>5.70766696445301</v>
      </c>
      <c r="H23" s="133" t="n">
        <f aca="false">'Balance Sheet'!H29/'Income Statement'!H10*91</f>
        <v>7</v>
      </c>
      <c r="I23" s="133" t="n">
        <f aca="false">'Balance Sheet'!I29/'Income Statement'!I10*91</f>
        <v>7</v>
      </c>
      <c r="J23" s="133" t="n">
        <f aca="false">'Balance Sheet'!J29/'Income Statement'!J10*91</f>
        <v>7</v>
      </c>
      <c r="K23" s="134" t="n">
        <f aca="false">'Balance Sheet'!K29/'Income Statement'!K10*91</f>
        <v>1.73283050171676</v>
      </c>
      <c r="L23" s="133" t="n">
        <f aca="false">'Balance Sheet'!L29/'Income Statement'!L10*91</f>
        <v>7</v>
      </c>
      <c r="M23" s="133" t="n">
        <f aca="false">'Balance Sheet'!M29/'Income Statement'!M10*91</f>
        <v>7</v>
      </c>
      <c r="N23" s="133" t="n">
        <f aca="false">'Balance Sheet'!N29/'Income Statement'!N10*91</f>
        <v>7</v>
      </c>
      <c r="O23" s="133" t="n">
        <f aca="false">'Balance Sheet'!O29/'Income Statement'!O10*91</f>
        <v>7</v>
      </c>
      <c r="P23" s="134" t="n">
        <f aca="false">'Balance Sheet'!P29/'Income Statement'!P10*91</f>
        <v>1.75367014236332</v>
      </c>
      <c r="Q23" s="133" t="n">
        <f aca="false">'Balance Sheet'!Q29/'Income Statement'!Q10*91</f>
        <v>7</v>
      </c>
      <c r="R23" s="133" t="n">
        <f aca="false">'Balance Sheet'!R29/'Income Statement'!R10*91</f>
        <v>7</v>
      </c>
      <c r="S23" s="133" t="n">
        <f aca="false">'Balance Sheet'!S29/'Income Statement'!S10*91</f>
        <v>7</v>
      </c>
      <c r="T23" s="133" t="n">
        <f aca="false">'Balance Sheet'!T29/'Income Statement'!T10*91</f>
        <v>7</v>
      </c>
      <c r="U23" s="134" t="n">
        <f aca="false">'Balance Sheet'!U29/'Income Statement'!U10*91</f>
        <v>1.75367014236332</v>
      </c>
    </row>
    <row r="24" customFormat="false" ht="15" hidden="false" customHeight="true" outlineLevel="0" collapsed="false">
      <c r="A24" s="46" t="s">
        <v>632</v>
      </c>
      <c r="B24" s="47"/>
      <c r="C24" s="47"/>
      <c r="D24" s="47"/>
      <c r="E24" s="47"/>
      <c r="F24" s="47"/>
      <c r="G24" s="47"/>
      <c r="H24" s="47"/>
      <c r="I24" s="47"/>
      <c r="J24" s="47"/>
      <c r="K24" s="47"/>
      <c r="L24" s="47"/>
      <c r="M24" s="47"/>
      <c r="N24" s="47"/>
      <c r="O24" s="47"/>
      <c r="P24" s="47"/>
      <c r="Q24" s="47"/>
      <c r="R24" s="47"/>
      <c r="S24" s="47"/>
      <c r="T24" s="47"/>
      <c r="U24" s="47"/>
    </row>
    <row r="25" customFormat="false" ht="15" hidden="false" customHeight="true" outlineLevel="0" collapsed="false">
      <c r="A25" s="51" t="s">
        <v>633</v>
      </c>
      <c r="B25" s="45" t="n">
        <f aca="false">'Cash Flow Statement'!B17</f>
        <v>670.861999999999</v>
      </c>
      <c r="C25" s="45" t="n">
        <f aca="false">'Cash Flow Statement'!C17</f>
        <v>776.822</v>
      </c>
      <c r="D25" s="45" t="n">
        <f aca="false">'Cash Flow Statement'!D17</f>
        <v>292.408593406594</v>
      </c>
      <c r="E25" s="45" t="n">
        <f aca="false">'Cash Flow Statement'!E17</f>
        <v>-2057.22020879121</v>
      </c>
      <c r="F25" s="44" t="n">
        <f aca="false">'Cash Flow Statement'!F17</f>
        <v>-317.127615384616</v>
      </c>
      <c r="G25" s="45" t="n">
        <f aca="false">'Cash Flow Statement'!G17</f>
        <v>1314.374</v>
      </c>
      <c r="H25" s="45" t="n">
        <f aca="false">'Cash Flow Statement'!H17</f>
        <v>1774.92155994937</v>
      </c>
      <c r="I25" s="45" t="n">
        <f aca="false">'Cash Flow Statement'!I17</f>
        <v>1623.10913843862</v>
      </c>
      <c r="J25" s="45" t="n">
        <f aca="false">'Cash Flow Statement'!J17</f>
        <v>1679.57219327514</v>
      </c>
      <c r="K25" s="44" t="n">
        <f aca="false">'Cash Flow Statement'!K17</f>
        <v>6391.97689166313</v>
      </c>
      <c r="L25" s="45" t="n">
        <f aca="false">'Cash Flow Statement'!L17</f>
        <v>1833.75813084324</v>
      </c>
      <c r="M25" s="45" t="n">
        <f aca="false">'Cash Flow Statement'!M17</f>
        <v>1533.66429766839</v>
      </c>
      <c r="N25" s="45" t="n">
        <f aca="false">'Cash Flow Statement'!N17</f>
        <v>1671.83042547487</v>
      </c>
      <c r="O25" s="45" t="n">
        <f aca="false">'Cash Flow Statement'!O17</f>
        <v>1678.76837764966</v>
      </c>
      <c r="P25" s="44" t="n">
        <f aca="false">'Cash Flow Statement'!P17</f>
        <v>6718.02123163616</v>
      </c>
      <c r="Q25" s="45" t="n">
        <f aca="false">'Cash Flow Statement'!Q17</f>
        <v>1959.63525597035</v>
      </c>
      <c r="R25" s="45" t="n">
        <f aca="false">'Cash Flow Statement'!R17</f>
        <v>1645.39744148186</v>
      </c>
      <c r="S25" s="45" t="n">
        <f aca="false">'Cash Flow Statement'!S17</f>
        <v>1794.61685951286</v>
      </c>
      <c r="T25" s="45" t="n">
        <f aca="false">'Cash Flow Statement'!T17</f>
        <v>1802.10984786163</v>
      </c>
      <c r="U25" s="44" t="n">
        <f aca="false">'Cash Flow Statement'!U17</f>
        <v>7201.7594048267</v>
      </c>
    </row>
    <row r="26" customFormat="false" ht="15" hidden="false" customHeight="true" outlineLevel="0" collapsed="false">
      <c r="A26" s="51" t="s">
        <v>634</v>
      </c>
      <c r="B26" s="45" t="n">
        <f aca="false">'Cash Flow Statement'!B17+'Cash Flow Statement'!B20</f>
        <v>357.607999999999</v>
      </c>
      <c r="C26" s="45" t="n">
        <f aca="false">'Cash Flow Statement'!C17+'Cash Flow Statement'!C20</f>
        <v>463.568</v>
      </c>
      <c r="D26" s="45" t="n">
        <f aca="false">'Cash Flow Statement'!D17+'Cash Flow Statement'!D20</f>
        <v>-20.8454065934063</v>
      </c>
      <c r="E26" s="45" t="n">
        <f aca="false">'Cash Flow Statement'!E17+'Cash Flow Statement'!E20</f>
        <v>-2370.47420879121</v>
      </c>
      <c r="F26" s="44" t="n">
        <f aca="false">'Cash Flow Statement'!F17+'Cash Flow Statement'!F20</f>
        <v>-1570.14361538462</v>
      </c>
      <c r="G26" s="45" t="n">
        <f aca="false">'Cash Flow Statement'!G17+'Cash Flow Statement'!G20</f>
        <v>700.769999999997</v>
      </c>
      <c r="H26" s="45" t="n">
        <f aca="false">'Cash Flow Statement'!H17+'Cash Flow Statement'!H20</f>
        <v>1332.70801393819</v>
      </c>
      <c r="I26" s="45" t="n">
        <f aca="false">'Cash Flow Statement'!I17+'Cash Flow Statement'!I20</f>
        <v>1153.88240361097</v>
      </c>
      <c r="J26" s="45" t="n">
        <f aca="false">'Cash Flow Statement'!J17+'Cash Flow Statement'!J20</f>
        <v>1204.66171392474</v>
      </c>
      <c r="K26" s="44" t="n">
        <f aca="false">'Cash Flow Statement'!K17+'Cash Flow Statement'!K20</f>
        <v>4392.02213147389</v>
      </c>
      <c r="L26" s="45" t="n">
        <f aca="false">'Cash Flow Statement'!L17+'Cash Flow Statement'!L20</f>
        <v>1283.69736924324</v>
      </c>
      <c r="M26" s="45" t="n">
        <f aca="false">'Cash Flow Statement'!M17+'Cash Flow Statement'!M20</f>
        <v>1056.07366797632</v>
      </c>
      <c r="N26" s="45" t="n">
        <f aca="false">'Cash Flow Statement'!N17+'Cash Flow Statement'!N20</f>
        <v>1165.065551861</v>
      </c>
      <c r="O26" s="45" t="n">
        <f aca="false">'Cash Flow Statement'!O17+'Cash Flow Statement'!O20</f>
        <v>1165.86505995123</v>
      </c>
      <c r="P26" s="44" t="n">
        <f aca="false">'Cash Flow Statement'!P17+'Cash Flow Statement'!P20</f>
        <v>4670.70164903179</v>
      </c>
      <c r="Q26" s="45" t="n">
        <f aca="false">'Cash Flow Statement'!Q17+'Cash Flow Statement'!Q20</f>
        <v>1365.56963344235</v>
      </c>
      <c r="R26" s="45" t="n">
        <f aca="false">'Cash Flow Statement'!R17+'Cash Flow Statement'!R20</f>
        <v>1129.59956141443</v>
      </c>
      <c r="S26" s="45" t="n">
        <f aca="false">'Cash Flow Statement'!S17+'Cash Flow Statement'!S20</f>
        <v>1247.31079600988</v>
      </c>
      <c r="T26" s="45" t="n">
        <f aca="false">'Cash Flow Statement'!T17+'Cash Flow Statement'!T20</f>
        <v>1248.17426474733</v>
      </c>
      <c r="U26" s="44" t="n">
        <f aca="false">'Cash Flow Statement'!U17+'Cash Flow Statement'!U20</f>
        <v>4990.65425561398</v>
      </c>
    </row>
    <row r="27" customFormat="false" ht="15" hidden="false" customHeight="true" outlineLevel="0" collapsed="false">
      <c r="A27" s="51" t="s">
        <v>635</v>
      </c>
      <c r="B27" s="66" t="n">
        <f aca="false">('Cash Flow Statement'!B17+'Cash Flow Statement'!B20)/'Income Statement'!B6</f>
        <v>0.016248225161922</v>
      </c>
      <c r="C27" s="66" t="n">
        <f aca="false">('Cash Flow Statement'!C17+'Cash Flow Statement'!C20)/'Income Statement'!C6</f>
        <v>0.023223697822603</v>
      </c>
      <c r="D27" s="66" t="n">
        <f aca="false">('Cash Flow Statement'!D17+'Cash Flow Statement'!D20)/'Income Statement'!D6</f>
        <v>-0.000984186914974674</v>
      </c>
      <c r="E27" s="66" t="n">
        <f aca="false">('Cash Flow Statement'!E17+'Cash Flow Statement'!E20)/'Income Statement'!E6</f>
        <v>-0.106586070539173</v>
      </c>
      <c r="F27" s="130" t="n">
        <f aca="false">('Cash Flow Statement'!F17+'Cash Flow Statement'!F20)/'Income Statement'!F6</f>
        <v>-0.018387829449868</v>
      </c>
      <c r="G27" s="66" t="n">
        <f aca="false">('Cash Flow Statement'!G17+'Cash Flow Statement'!G20)/'Income Statement'!G6</f>
        <v>0.0275181090103045</v>
      </c>
      <c r="H27" s="66" t="n">
        <f aca="false">('Cash Flow Statement'!H17+'Cash Flow Statement'!H20)/'Income Statement'!H6</f>
        <v>0.0602744093191805</v>
      </c>
      <c r="I27" s="66" t="n">
        <f aca="false">('Cash Flow Statement'!I17+'Cash Flow Statement'!I20)/'Income Statement'!I6</f>
        <v>0.0491822958056632</v>
      </c>
      <c r="J27" s="66" t="n">
        <f aca="false">('Cash Flow Statement'!J17+'Cash Flow Statement'!J20)/'Income Statement'!J6</f>
        <v>0.0507321596934445</v>
      </c>
      <c r="K27" s="130" t="n">
        <f aca="false">('Cash Flow Statement'!K17+'Cash Flow Statement'!K20)/'Income Statement'!K6</f>
        <v>0.046337503360934</v>
      </c>
      <c r="L27" s="66" t="n">
        <f aca="false">('Cash Flow Statement'!L17+'Cash Flow Statement'!L20)/'Income Statement'!L6</f>
        <v>0.04667474791364</v>
      </c>
      <c r="M27" s="66" t="n">
        <f aca="false">('Cash Flow Statement'!M17+'Cash Flow Statement'!M20)/'Income Statement'!M6</f>
        <v>0.0442250581280137</v>
      </c>
      <c r="N27" s="66" t="n">
        <f aca="false">('Cash Flow Statement'!N17+'Cash Flow Statement'!N20)/'Income Statement'!N6</f>
        <v>0.0459805172979974</v>
      </c>
      <c r="O27" s="66" t="n">
        <f aca="false">('Cash Flow Statement'!O17+'Cash Flow Statement'!O20)/'Income Statement'!O6</f>
        <v>0.045461396708559</v>
      </c>
      <c r="P27" s="130" t="n">
        <f aca="false">('Cash Flow Statement'!P17+'Cash Flow Statement'!P20)/'Income Statement'!P6</f>
        <v>0.0456274798396667</v>
      </c>
      <c r="Q27" s="66" t="n">
        <f aca="false">('Cash Flow Statement'!Q17+'Cash Flow Statement'!Q20)/'Income Statement'!Q6</f>
        <v>0.0459736965633955</v>
      </c>
      <c r="R27" s="66" t="n">
        <f aca="false">('Cash Flow Statement'!R17+'Cash Flow Statement'!R20)/'Income Statement'!R6</f>
        <v>0.0438000854624197</v>
      </c>
      <c r="S27" s="66" t="n">
        <f aca="false">('Cash Flow Statement'!S17+'Cash Flow Statement'!S20)/'Income Statement'!S6</f>
        <v>0.0455800101327798</v>
      </c>
      <c r="T27" s="66" t="n">
        <f aca="false">('Cash Flow Statement'!T17+'Cash Flow Statement'!T20)/'Income Statement'!T6</f>
        <v>0.0450656828265088</v>
      </c>
      <c r="U27" s="130" t="n">
        <f aca="false">('Cash Flow Statement'!U17+'Cash Flow Statement'!U20)/'Income Statement'!U6</f>
        <v>0.0451417179991728</v>
      </c>
    </row>
    <row r="28" customFormat="false" ht="15" hidden="false" customHeight="true" outlineLevel="0" collapsed="false">
      <c r="A28" s="46" t="s">
        <v>636</v>
      </c>
      <c r="B28" s="47"/>
      <c r="C28" s="47"/>
      <c r="D28" s="47"/>
      <c r="E28" s="47"/>
      <c r="F28" s="47"/>
      <c r="G28" s="47"/>
      <c r="H28" s="47"/>
      <c r="I28" s="47"/>
      <c r="J28" s="47"/>
      <c r="K28" s="47"/>
      <c r="L28" s="47"/>
      <c r="M28" s="47"/>
      <c r="N28" s="47"/>
      <c r="O28" s="47"/>
      <c r="P28" s="47"/>
      <c r="Q28" s="47"/>
      <c r="R28" s="47"/>
      <c r="S28" s="47"/>
      <c r="T28" s="47"/>
      <c r="U28" s="47"/>
    </row>
    <row r="29" customFormat="false" ht="15" hidden="false" customHeight="true" outlineLevel="0" collapsed="false">
      <c r="A29" s="51" t="s">
        <v>152</v>
      </c>
      <c r="B29" s="69" t="n">
        <f aca="false">'Income Statement'!B28</f>
        <v>-0.00882816606149692</v>
      </c>
      <c r="C29" s="69" t="n">
        <f aca="false">'Income Statement'!C28</f>
        <v>-0.0136554934823091</v>
      </c>
      <c r="D29" s="69" t="n">
        <f aca="false">'Income Statement'!D28</f>
        <v>-0.0148148148148148</v>
      </c>
      <c r="E29" s="69" t="n">
        <f aca="false">'Income Statement'!E28</f>
        <v>-0.0549450549450549</v>
      </c>
      <c r="F29" s="135" t="n">
        <f aca="false">'Income Statement'!F28</f>
        <v>-0.0928538214395314</v>
      </c>
      <c r="G29" s="69" t="n">
        <f aca="false">'Income Statement'!G28</f>
        <v>0.00688942428612156</v>
      </c>
      <c r="H29" s="69" t="n">
        <f aca="false">'Income Statement'!H28</f>
        <v>0.0234924125170533</v>
      </c>
      <c r="I29" s="69" t="n">
        <f aca="false">'Income Statement'!I28</f>
        <v>0.0264890105409983</v>
      </c>
      <c r="J29" s="69" t="n">
        <f aca="false">'Income Statement'!J28</f>
        <v>0.0279639042398498</v>
      </c>
      <c r="K29" s="135" t="n">
        <f aca="false">'Income Statement'!K28</f>
        <v>0.0848615292731317</v>
      </c>
      <c r="L29" s="69" t="n">
        <f aca="false">'Income Statement'!L28</f>
        <v>0.0283804517847482</v>
      </c>
      <c r="M29" s="69" t="n">
        <f aca="false">'Income Statement'!M28</f>
        <v>0.025095834295396</v>
      </c>
      <c r="N29" s="69" t="n">
        <f aca="false">'Income Statement'!N28</f>
        <v>0.0264181201709884</v>
      </c>
      <c r="O29" s="69" t="n">
        <f aca="false">'Income Statement'!O28</f>
        <v>0.0266963374208642</v>
      </c>
      <c r="P29" s="135" t="n">
        <f aca="false">'Income Statement'!P28</f>
        <v>0.106590743671997</v>
      </c>
      <c r="Q29" s="69" t="n">
        <f aca="false">'Income Statement'!Q28</f>
        <v>0.0303749167045065</v>
      </c>
      <c r="R29" s="69" t="n">
        <f aca="false">'Income Statement'!R28</f>
        <v>0.0268275298160061</v>
      </c>
      <c r="S29" s="69" t="n">
        <f aca="false">'Income Statement'!S28</f>
        <v>0.0282555985616458</v>
      </c>
      <c r="T29" s="69" t="n">
        <f aca="false">'Income Statement'!T28</f>
        <v>0.0285560731915118</v>
      </c>
      <c r="U29" s="135" t="n">
        <f aca="false">'Income Statement'!U28</f>
        <v>0.11401411827367</v>
      </c>
    </row>
    <row r="30" customFormat="false" ht="15" hidden="false" customHeight="true" outlineLevel="0" collapsed="false">
      <c r="A30" s="6" t="s">
        <v>637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2026-06-13T17:20:41Z</dcterms:created>
  <dc:creator>openpyxl</dc:creator>
  <dc:description/>
  <dc:language>en-US</dc:language>
  <cp:lastModifiedBy/>
  <dcterms:modified xsi:type="dcterms:W3CDTF">2026-06-14T00:27:45Z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